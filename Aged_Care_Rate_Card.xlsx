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 Card" sheetId="1" state="visible" r:id="rId3"/>
    <sheet name="Organiza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<sst xmlns="http://schemas.openxmlformats.org/spreadsheetml/2006/main" count="115" uniqueCount="39">
  <si>
    <t xml:space="preserve">Aged Care Pricing Rate Card</t>
  </si>
  <si>
    <t xml:space="preserve">Source: pricing image provided by user. Base Rate and Rate Inc GST are as given in the source image (not independently recalculated, since rounding in the source doesn't always match a clean x1.1 GST multiple). Note: the source image appeared cut off after the OLOC row, so there may be additional tiers/organizations not captured here.</t>
  </si>
  <si>
    <t xml:space="preserve">Tier</t>
  </si>
  <si>
    <t xml:space="preserve">Base Rate (ex GST)</t>
  </si>
  <si>
    <t xml:space="preserve">Rate Inc GST (per hour)</t>
  </si>
  <si>
    <t xml:space="preserve">Tier 1</t>
  </si>
  <si>
    <t xml:space="preserve">Tier 2</t>
  </si>
  <si>
    <t xml:space="preserve">Tier 3</t>
  </si>
  <si>
    <t xml:space="preserve">Frequency multiplier (x hourly rate x hours)</t>
  </si>
  <si>
    <t xml:space="preserve">4-Weekly</t>
  </si>
  <si>
    <t xml:space="preserve">Fortnightly</t>
  </si>
  <si>
    <t xml:space="preserve">Weekly</t>
  </si>
  <si>
    <t xml:space="preserve">Duration (hours)</t>
  </si>
  <si>
    <t xml:space="preserve">Frequency</t>
  </si>
  <si>
    <t xml:space="preserve">Frequency multiplier</t>
  </si>
  <si>
    <t xml:space="preserve">Price</t>
  </si>
  <si>
    <t xml:space="preserve">Aged Care Organizations by Rate Tier</t>
  </si>
  <si>
    <t xml:space="preserve">Source: pricing image provided by user. See 'Rate Card' sheet for the tier's pricing grid.</t>
  </si>
  <si>
    <t xml:space="preserve">Organization</t>
  </si>
  <si>
    <t xml:space="preserve">Catholics</t>
  </si>
  <si>
    <t xml:space="preserve">Vitality Club</t>
  </si>
  <si>
    <t xml:space="preserve">Hammond Care</t>
  </si>
  <si>
    <t xml:space="preserve">Hazel Home Care</t>
  </si>
  <si>
    <t xml:space="preserve">Goodwin</t>
  </si>
  <si>
    <t xml:space="preserve">Blue Cross/Lumia Care</t>
  </si>
  <si>
    <t xml:space="preserve">Bodewell</t>
  </si>
  <si>
    <t xml:space="preserve">ADEC</t>
  </si>
  <si>
    <t xml:space="preserve">Australian Unity</t>
  </si>
  <si>
    <t xml:space="preserve">A Fresh Approach</t>
  </si>
  <si>
    <t xml:space="preserve">IRT</t>
  </si>
  <si>
    <t xml:space="preserve">Essentially Your Choice</t>
  </si>
  <si>
    <t xml:space="preserve">Kincare/Silverchain</t>
  </si>
  <si>
    <t xml:space="preserve">Calvary Sydney</t>
  </si>
  <si>
    <t xml:space="preserve">Calvary Melbourne</t>
  </si>
  <si>
    <t xml:space="preserve">Calvary Shepparton</t>
  </si>
  <si>
    <t xml:space="preserve">Calvary Gippsland</t>
  </si>
  <si>
    <t xml:space="preserve">Calvary Hunter</t>
  </si>
  <si>
    <t xml:space="preserve">Calvary Manningham</t>
  </si>
  <si>
    <t xml:space="preserve">OLOC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</si>
</sst>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A776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F4A52"/>
        <bgColor rgb="FF333399"/>
      </patternFill>
    </fill>
    <fill>
      <patternFill patternType="solid">
        <fgColor rgb="FFFDE9B6"/>
        <bgColor rgb="FFFFFF99"/>
      </patternFill>
    </fill>
    <fill>
      <patternFill patternType="solid">
        <fgColor rgb="FFBDD7EE"/>
        <bgColor rgb="FFCCCCCC"/>
      </patternFill>
    </fill>
    <fill>
      <patternFill patternType="solid">
        <fgColor rgb="FFD9EAD3"/>
        <bgColor rgb="FFFDE9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A776F"/>
      <rgbColor rgb="FF9999FF"/>
      <rgbColor rgb="FF993366"/>
      <rgbColor rgb="FFFDE9B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A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62.02</v>
      </c>
      <c r="C5" s="5" t="n">
        <v>68.22</v>
      </c>
    </row>
    <row r="6" customFormat="false" ht="15" hidden="false" customHeight="false" outlineLevel="0" collapsed="false">
      <c r="A6" s="6" t="s">
        <v>6</v>
      </c>
      <c r="B6" s="7" t="n">
        <v>62.31</v>
      </c>
      <c r="C6" s="7" t="n">
        <v>68.54</v>
      </c>
    </row>
    <row r="7" customFormat="false" ht="15" hidden="false" customHeight="false" outlineLevel="0" collapsed="false">
      <c r="A7" s="8" t="s">
        <v>7</v>
      </c>
      <c r="B7" s="9" t="n">
        <v>54.96</v>
      </c>
      <c r="C7" s="9" t="n">
        <v>60.45</v>
      </c>
    </row>
    <row r="10" customFormat="false" ht="15" hidden="false" customHeight="false" outlineLevel="0" collapsed="false">
      <c r="A10" s="10" t="s">
        <v>8</v>
      </c>
    </row>
    <row r="11" customFormat="false" ht="15" hidden="false" customHeight="false" outlineLevel="0" collapsed="false">
      <c r="A11" s="11" t="s">
        <v>9</v>
      </c>
      <c r="B11" s="12" t="n">
        <v>1</v>
      </c>
      <c r="C11" s="11" t="s">
        <v>10</v>
      </c>
      <c r="D11" s="12" t="n">
        <v>2</v>
      </c>
      <c r="E11" s="11" t="s">
        <v>11</v>
      </c>
      <c r="F11" s="12" t="n">
        <v>4</v>
      </c>
    </row>
    <row r="14" customFormat="false" ht="15" hidden="false" customHeight="false" outlineLevel="0" collapsed="false">
      <c r="A14" s="3" t="s">
        <v>2</v>
      </c>
      <c r="B14" s="3" t="s">
        <v>12</v>
      </c>
      <c r="C14" s="3" t="s">
        <v>13</v>
      </c>
      <c r="D14" s="3" t="s">
        <v>14</v>
      </c>
      <c r="E14" s="3" t="s">
        <v>15</v>
      </c>
    </row>
    <row r="15" customFormat="false" ht="15" hidden="false" customHeight="false" outlineLevel="0" collapsed="false">
      <c r="A15" s="13" t="s">
        <v>5</v>
      </c>
      <c r="B15" s="13" t="n">
        <v>1</v>
      </c>
      <c r="C15" s="13" t="s">
        <v>9</v>
      </c>
      <c r="D15" s="13" t="n">
        <v>1</v>
      </c>
      <c r="E15" s="14" t="n">
        <f aca="false">ROUND(INDEX($C$5:$C$7,MATCH(A15,$A$5:$A$7,0))*B15*D15,2)</f>
        <v>68.22</v>
      </c>
    </row>
    <row r="16" customFormat="false" ht="15" hidden="false" customHeight="false" outlineLevel="0" collapsed="false">
      <c r="A16" s="13" t="s">
        <v>5</v>
      </c>
      <c r="B16" s="13" t="n">
        <v>1</v>
      </c>
      <c r="C16" s="13" t="s">
        <v>10</v>
      </c>
      <c r="D16" s="13" t="n">
        <v>2</v>
      </c>
      <c r="E16" s="14" t="n">
        <f aca="false">ROUND(INDEX($C$5:$C$7,MATCH(A16,$A$5:$A$7,0))*B16*D16,2)</f>
        <v>136.44</v>
      </c>
    </row>
    <row r="17" customFormat="false" ht="15" hidden="false" customHeight="false" outlineLevel="0" collapsed="false">
      <c r="A17" s="13" t="s">
        <v>5</v>
      </c>
      <c r="B17" s="13" t="n">
        <v>1</v>
      </c>
      <c r="C17" s="13" t="s">
        <v>11</v>
      </c>
      <c r="D17" s="13" t="n">
        <v>4</v>
      </c>
      <c r="E17" s="14" t="n">
        <f aca="false">ROUND(INDEX($C$5:$C$7,MATCH(A17,$A$5:$A$7,0))*B17*D17,2)</f>
        <v>272.88</v>
      </c>
    </row>
    <row r="18" customFormat="false" ht="15" hidden="false" customHeight="false" outlineLevel="0" collapsed="false">
      <c r="A18" s="13" t="s">
        <v>5</v>
      </c>
      <c r="B18" s="13" t="n">
        <v>1.5</v>
      </c>
      <c r="C18" s="13" t="s">
        <v>9</v>
      </c>
      <c r="D18" s="13" t="n">
        <v>1</v>
      </c>
      <c r="E18" s="14" t="n">
        <f aca="false">ROUND(INDEX($C$5:$C$7,MATCH(A18,$A$5:$A$7,0))*B18*D18,2)</f>
        <v>102.33</v>
      </c>
    </row>
    <row r="19" customFormat="false" ht="15" hidden="false" customHeight="false" outlineLevel="0" collapsed="false">
      <c r="A19" s="13" t="s">
        <v>5</v>
      </c>
      <c r="B19" s="13" t="n">
        <v>1.5</v>
      </c>
      <c r="C19" s="13" t="s">
        <v>10</v>
      </c>
      <c r="D19" s="13" t="n">
        <v>2</v>
      </c>
      <c r="E19" s="14" t="n">
        <f aca="false">ROUND(INDEX($C$5:$C$7,MATCH(A19,$A$5:$A$7,0))*B19*D19,2)</f>
        <v>204.66</v>
      </c>
    </row>
    <row r="20" customFormat="false" ht="15" hidden="false" customHeight="false" outlineLevel="0" collapsed="false">
      <c r="A20" s="13" t="s">
        <v>5</v>
      </c>
      <c r="B20" s="13" t="n">
        <v>1.5</v>
      </c>
      <c r="C20" s="13" t="s">
        <v>11</v>
      </c>
      <c r="D20" s="13" t="n">
        <v>4</v>
      </c>
      <c r="E20" s="14" t="n">
        <f aca="false">ROUND(INDEX($C$5:$C$7,MATCH(A20,$A$5:$A$7,0))*B20*D20,2)</f>
        <v>409.32</v>
      </c>
    </row>
    <row r="21" customFormat="false" ht="15" hidden="false" customHeight="false" outlineLevel="0" collapsed="false">
      <c r="A21" s="13" t="s">
        <v>5</v>
      </c>
      <c r="B21" s="13" t="n">
        <v>2</v>
      </c>
      <c r="C21" s="13" t="s">
        <v>9</v>
      </c>
      <c r="D21" s="13" t="n">
        <v>1</v>
      </c>
      <c r="E21" s="14" t="n">
        <f aca="false">ROUND(INDEX($C$5:$C$7,MATCH(A21,$A$5:$A$7,0))*B21*D21,2)</f>
        <v>136.44</v>
      </c>
    </row>
    <row r="22" customFormat="false" ht="15" hidden="false" customHeight="false" outlineLevel="0" collapsed="false">
      <c r="A22" s="13" t="s">
        <v>5</v>
      </c>
      <c r="B22" s="13" t="n">
        <v>2</v>
      </c>
      <c r="C22" s="13" t="s">
        <v>10</v>
      </c>
      <c r="D22" s="13" t="n">
        <v>2</v>
      </c>
      <c r="E22" s="14" t="n">
        <f aca="false">ROUND(INDEX($C$5:$C$7,MATCH(A22,$A$5:$A$7,0))*B22*D22,2)</f>
        <v>272.88</v>
      </c>
    </row>
    <row r="23" customFormat="false" ht="15" hidden="false" customHeight="false" outlineLevel="0" collapsed="false">
      <c r="A23" s="13" t="s">
        <v>5</v>
      </c>
      <c r="B23" s="13" t="n">
        <v>2</v>
      </c>
      <c r="C23" s="13" t="s">
        <v>11</v>
      </c>
      <c r="D23" s="13" t="n">
        <v>4</v>
      </c>
      <c r="E23" s="14" t="n">
        <f aca="false">ROUND(INDEX($C$5:$C$7,MATCH(A23,$A$5:$A$7,0))*B23*D23,2)</f>
        <v>545.76</v>
      </c>
    </row>
    <row r="24" customFormat="false" ht="15" hidden="false" customHeight="false" outlineLevel="0" collapsed="false">
      <c r="A24" s="15" t="s">
        <v>6</v>
      </c>
      <c r="B24" s="15" t="n">
        <v>1</v>
      </c>
      <c r="C24" s="15" t="s">
        <v>9</v>
      </c>
      <c r="D24" s="15" t="n">
        <v>1</v>
      </c>
      <c r="E24" s="16" t="n">
        <f aca="false">ROUND(INDEX($C$5:$C$7,MATCH(A24,$A$5:$A$7,0))*B24*D24,2)</f>
        <v>68.54</v>
      </c>
    </row>
    <row r="25" customFormat="false" ht="15" hidden="false" customHeight="false" outlineLevel="0" collapsed="false">
      <c r="A25" s="15" t="s">
        <v>6</v>
      </c>
      <c r="B25" s="15" t="n">
        <v>1</v>
      </c>
      <c r="C25" s="15" t="s">
        <v>10</v>
      </c>
      <c r="D25" s="15" t="n">
        <v>2</v>
      </c>
      <c r="E25" s="16" t="n">
        <f aca="false">ROUND(INDEX($C$5:$C$7,MATCH(A25,$A$5:$A$7,0))*B25*D25,2)</f>
        <v>137.08</v>
      </c>
    </row>
    <row r="26" customFormat="false" ht="15" hidden="false" customHeight="false" outlineLevel="0" collapsed="false">
      <c r="A26" s="15" t="s">
        <v>6</v>
      </c>
      <c r="B26" s="15" t="n">
        <v>1</v>
      </c>
      <c r="C26" s="15" t="s">
        <v>11</v>
      </c>
      <c r="D26" s="15" t="n">
        <v>4</v>
      </c>
      <c r="E26" s="16" t="n">
        <f aca="false">ROUND(INDEX($C$5:$C$7,MATCH(A26,$A$5:$A$7,0))*B26*D26,2)</f>
        <v>274.16</v>
      </c>
    </row>
    <row r="27" customFormat="false" ht="15" hidden="false" customHeight="false" outlineLevel="0" collapsed="false">
      <c r="A27" s="15" t="s">
        <v>6</v>
      </c>
      <c r="B27" s="15" t="n">
        <v>1.5</v>
      </c>
      <c r="C27" s="15" t="s">
        <v>9</v>
      </c>
      <c r="D27" s="15" t="n">
        <v>1</v>
      </c>
      <c r="E27" s="16" t="n">
        <f aca="false">ROUND(INDEX($C$5:$C$7,MATCH(A27,$A$5:$A$7,0))*B27*D27,2)</f>
        <v>102.81</v>
      </c>
    </row>
    <row r="28" customFormat="false" ht="15" hidden="false" customHeight="false" outlineLevel="0" collapsed="false">
      <c r="A28" s="15" t="s">
        <v>6</v>
      </c>
      <c r="B28" s="15" t="n">
        <v>1.5</v>
      </c>
      <c r="C28" s="15" t="s">
        <v>10</v>
      </c>
      <c r="D28" s="15" t="n">
        <v>2</v>
      </c>
      <c r="E28" s="16" t="n">
        <f aca="false">ROUND(INDEX($C$5:$C$7,MATCH(A28,$A$5:$A$7,0))*B28*D28,2)</f>
        <v>205.62</v>
      </c>
    </row>
    <row r="29" customFormat="false" ht="15" hidden="false" customHeight="false" outlineLevel="0" collapsed="false">
      <c r="A29" s="15" t="s">
        <v>6</v>
      </c>
      <c r="B29" s="15" t="n">
        <v>1.5</v>
      </c>
      <c r="C29" s="15" t="s">
        <v>11</v>
      </c>
      <c r="D29" s="15" t="n">
        <v>4</v>
      </c>
      <c r="E29" s="16" t="n">
        <f aca="false">ROUND(INDEX($C$5:$C$7,MATCH(A29,$A$5:$A$7,0))*B29*D29,2)</f>
        <v>411.24</v>
      </c>
    </row>
    <row r="30" customFormat="false" ht="15" hidden="false" customHeight="false" outlineLevel="0" collapsed="false">
      <c r="A30" s="15" t="s">
        <v>6</v>
      </c>
      <c r="B30" s="15" t="n">
        <v>2</v>
      </c>
      <c r="C30" s="15" t="s">
        <v>9</v>
      </c>
      <c r="D30" s="15" t="n">
        <v>1</v>
      </c>
      <c r="E30" s="16" t="n">
        <f aca="false">ROUND(INDEX($C$5:$C$7,MATCH(A30,$A$5:$A$7,0))*B30*D30,2)</f>
        <v>137.08</v>
      </c>
    </row>
    <row r="31" customFormat="false" ht="15" hidden="false" customHeight="false" outlineLevel="0" collapsed="false">
      <c r="A31" s="15" t="s">
        <v>6</v>
      </c>
      <c r="B31" s="15" t="n">
        <v>2</v>
      </c>
      <c r="C31" s="15" t="s">
        <v>10</v>
      </c>
      <c r="D31" s="15" t="n">
        <v>2</v>
      </c>
      <c r="E31" s="16" t="n">
        <f aca="false">ROUND(INDEX($C$5:$C$7,MATCH(A31,$A$5:$A$7,0))*B31*D31,2)</f>
        <v>274.16</v>
      </c>
    </row>
    <row r="32" customFormat="false" ht="15" hidden="false" customHeight="false" outlineLevel="0" collapsed="false">
      <c r="A32" s="15" t="s">
        <v>6</v>
      </c>
      <c r="B32" s="15" t="n">
        <v>2</v>
      </c>
      <c r="C32" s="15" t="s">
        <v>11</v>
      </c>
      <c r="D32" s="15" t="n">
        <v>4</v>
      </c>
      <c r="E32" s="16" t="n">
        <f aca="false">ROUND(INDEX($C$5:$C$7,MATCH(A32,$A$5:$A$7,0))*B32*D32,2)</f>
        <v>548.32</v>
      </c>
    </row>
    <row r="33" customFormat="false" ht="15" hidden="false" customHeight="false" outlineLevel="0" collapsed="false">
      <c r="A33" s="17" t="s">
        <v>7</v>
      </c>
      <c r="B33" s="17" t="n">
        <v>1</v>
      </c>
      <c r="C33" s="17" t="s">
        <v>9</v>
      </c>
      <c r="D33" s="17" t="n">
        <v>1</v>
      </c>
      <c r="E33" s="18" t="n">
        <f aca="false">ROUND(INDEX($C$5:$C$7,MATCH(A33,$A$5:$A$7,0))*B33*D33,2)</f>
        <v>60.45</v>
      </c>
    </row>
    <row r="34" customFormat="false" ht="15" hidden="false" customHeight="false" outlineLevel="0" collapsed="false">
      <c r="A34" s="17" t="s">
        <v>7</v>
      </c>
      <c r="B34" s="17" t="n">
        <v>1</v>
      </c>
      <c r="C34" s="17" t="s">
        <v>10</v>
      </c>
      <c r="D34" s="17" t="n">
        <v>2</v>
      </c>
      <c r="E34" s="18" t="n">
        <f aca="false">ROUND(INDEX($C$5:$C$7,MATCH(A34,$A$5:$A$7,0))*B34*D34,2)</f>
        <v>120.9</v>
      </c>
    </row>
    <row r="35" customFormat="false" ht="15" hidden="false" customHeight="false" outlineLevel="0" collapsed="false">
      <c r="A35" s="17" t="s">
        <v>7</v>
      </c>
      <c r="B35" s="17" t="n">
        <v>1</v>
      </c>
      <c r="C35" s="17" t="s">
        <v>11</v>
      </c>
      <c r="D35" s="17" t="n">
        <v>4</v>
      </c>
      <c r="E35" s="18" t="n">
        <f aca="false">ROUND(INDEX($C$5:$C$7,MATCH(A35,$A$5:$A$7,0))*B35*D35,2)</f>
        <v>241.8</v>
      </c>
    </row>
    <row r="36" customFormat="false" ht="15" hidden="false" customHeight="false" outlineLevel="0" collapsed="false">
      <c r="A36" s="17" t="s">
        <v>7</v>
      </c>
      <c r="B36" s="17" t="n">
        <v>1.5</v>
      </c>
      <c r="C36" s="17" t="s">
        <v>9</v>
      </c>
      <c r="D36" s="17" t="n">
        <v>1</v>
      </c>
      <c r="E36" s="18" t="n">
        <f aca="false">ROUND(INDEX($C$5:$C$7,MATCH(A36,$A$5:$A$7,0))*B36*D36,2)</f>
        <v>90.68</v>
      </c>
    </row>
    <row r="37" customFormat="false" ht="15" hidden="false" customHeight="false" outlineLevel="0" collapsed="false">
      <c r="A37" s="17" t="s">
        <v>7</v>
      </c>
      <c r="B37" s="17" t="n">
        <v>1.5</v>
      </c>
      <c r="C37" s="17" t="s">
        <v>10</v>
      </c>
      <c r="D37" s="17" t="n">
        <v>2</v>
      </c>
      <c r="E37" s="18" t="n">
        <f aca="false">ROUND(INDEX($C$5:$C$7,MATCH(A37,$A$5:$A$7,0))*B37*D37,2)</f>
        <v>181.35</v>
      </c>
    </row>
    <row r="38" customFormat="false" ht="15" hidden="false" customHeight="false" outlineLevel="0" collapsed="false">
      <c r="A38" s="17" t="s">
        <v>7</v>
      </c>
      <c r="B38" s="17" t="n">
        <v>1.5</v>
      </c>
      <c r="C38" s="17" t="s">
        <v>11</v>
      </c>
      <c r="D38" s="17" t="n">
        <v>4</v>
      </c>
      <c r="E38" s="18" t="n">
        <f aca="false">ROUND(INDEX($C$5:$C$7,MATCH(A38,$A$5:$A$7,0))*B38*D38,2)</f>
        <v>362.7</v>
      </c>
    </row>
    <row r="39" customFormat="false" ht="15" hidden="false" customHeight="false" outlineLevel="0" collapsed="false">
      <c r="A39" s="17" t="s">
        <v>7</v>
      </c>
      <c r="B39" s="17" t="n">
        <v>2</v>
      </c>
      <c r="C39" s="17" t="s">
        <v>9</v>
      </c>
      <c r="D39" s="17" t="n">
        <v>1</v>
      </c>
      <c r="E39" s="18" t="n">
        <f aca="false">ROUND(INDEX($C$5:$C$7,MATCH(A39,$A$5:$A$7,0))*B39*D39,2)</f>
        <v>120.9</v>
      </c>
    </row>
    <row r="40" customFormat="false" ht="15" hidden="false" customHeight="false" outlineLevel="0" collapsed="false">
      <c r="A40" s="17" t="s">
        <v>7</v>
      </c>
      <c r="B40" s="17" t="n">
        <v>2</v>
      </c>
      <c r="C40" s="17" t="s">
        <v>10</v>
      </c>
      <c r="D40" s="17" t="n">
        <v>2</v>
      </c>
      <c r="E40" s="18" t="n">
        <f aca="false">ROUND(INDEX($C$5:$C$7,MATCH(A40,$A$5:$A$7,0))*B40*D40,2)</f>
        <v>241.8</v>
      </c>
    </row>
    <row r="41" customFormat="false" ht="15" hidden="false" customHeight="false" outlineLevel="0" collapsed="false">
      <c r="A41" s="17" t="s">
        <v>7</v>
      </c>
      <c r="B41" s="17" t="n">
        <v>2</v>
      </c>
      <c r="C41" s="17" t="s">
        <v>11</v>
      </c>
      <c r="D41" s="17" t="n">
        <v>4</v>
      </c>
      <c r="E41" s="18" t="n">
        <f aca="false">ROUND(INDEX($C$5:$C$7,MATCH(A41,$A$5:$A$7,0))*B41*D41,2)</f>
        <v>483.6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19" t="s">
        <v>17</v>
      </c>
    </row>
    <row r="4" customFormat="false" ht="15" hidden="false" customHeight="false" outlineLevel="0" collapsed="false">
      <c r="A4" s="3" t="s">
        <v>18</v>
      </c>
      <c r="B4" s="3" t="s">
        <v>2</v>
      </c>
    </row>
    <row r="5" customFormat="false" ht="15" hidden="false" customHeight="false" outlineLevel="0" collapsed="false">
      <c r="A5" s="13" t="s">
        <v>19</v>
      </c>
      <c r="B5" s="13" t="s">
        <v>5</v>
      </c>
    </row>
    <row r="6" customFormat="false" ht="15" hidden="false" customHeight="false" outlineLevel="0" collapsed="false">
      <c r="A6" s="13" t="s">
        <v>20</v>
      </c>
      <c r="B6" s="13" t="s">
        <v>5</v>
      </c>
    </row>
    <row r="7" customFormat="false" ht="15" hidden="false" customHeight="false" outlineLevel="0" collapsed="false">
      <c r="A7" s="13" t="s">
        <v>21</v>
      </c>
      <c r="B7" s="13" t="s">
        <v>5</v>
      </c>
    </row>
    <row r="8" customFormat="false" ht="15" hidden="false" customHeight="false" outlineLevel="0" collapsed="false">
      <c r="A8" s="13" t="s">
        <v>22</v>
      </c>
      <c r="B8" s="13" t="s">
        <v>5</v>
      </c>
    </row>
    <row r="9" customFormat="false" ht="15" hidden="false" customHeight="false" outlineLevel="0" collapsed="false">
      <c r="A9" s="13" t="s">
        <v>23</v>
      </c>
      <c r="B9" s="13" t="s">
        <v>5</v>
      </c>
    </row>
    <row r="10" customFormat="false" ht="15" hidden="false" customHeight="false" outlineLevel="0" collapsed="false">
      <c r="A10" s="13" t="s">
        <v>24</v>
      </c>
      <c r="B10" s="13" t="s">
        <v>5</v>
      </c>
    </row>
    <row r="11" customFormat="false" ht="15" hidden="false" customHeight="false" outlineLevel="0" collapsed="false">
      <c r="A11" s="13" t="s">
        <v>25</v>
      </c>
      <c r="B11" s="13" t="s">
        <v>5</v>
      </c>
    </row>
    <row r="12" customFormat="false" ht="15" hidden="false" customHeight="false" outlineLevel="0" collapsed="false">
      <c r="A12" s="13" t="s">
        <v>26</v>
      </c>
      <c r="B12" s="13" t="s">
        <v>5</v>
      </c>
    </row>
    <row r="13" customFormat="false" ht="15" hidden="false" customHeight="false" outlineLevel="0" collapsed="false">
      <c r="A13" s="13" t="s">
        <v>27</v>
      </c>
      <c r="B13" s="13" t="s">
        <v>5</v>
      </c>
    </row>
    <row r="14" customFormat="false" ht="15" hidden="false" customHeight="false" outlineLevel="0" collapsed="false">
      <c r="A14" s="13" t="s">
        <v>28</v>
      </c>
      <c r="B14" s="13" t="s">
        <v>5</v>
      </c>
    </row>
    <row r="15" customFormat="false" ht="15" hidden="false" customHeight="false" outlineLevel="0" collapsed="false">
      <c r="A15" s="13" t="s">
        <v>29</v>
      </c>
      <c r="B15" s="13" t="s">
        <v>5</v>
      </c>
    </row>
    <row r="16" customFormat="false" ht="15" hidden="false" customHeight="false" outlineLevel="0" collapsed="false">
      <c r="A16" s="13" t="s">
        <v>30</v>
      </c>
      <c r="B16" s="13" t="s">
        <v>5</v>
      </c>
    </row>
    <row r="17" customFormat="false" ht="15" hidden="false" customHeight="false" outlineLevel="0" collapsed="false">
      <c r="A17" s="15" t="s">
        <v>31</v>
      </c>
      <c r="B17" s="15" t="s">
        <v>6</v>
      </c>
    </row>
    <row r="18" customFormat="false" ht="15" hidden="false" customHeight="false" outlineLevel="0" collapsed="false">
      <c r="A18" s="15" t="s">
        <v>32</v>
      </c>
      <c r="B18" s="15" t="s">
        <v>6</v>
      </c>
    </row>
    <row r="19" customFormat="false" ht="15" hidden="false" customHeight="false" outlineLevel="0" collapsed="false">
      <c r="A19" s="15" t="s">
        <v>33</v>
      </c>
      <c r="B19" s="15" t="s">
        <v>6</v>
      </c>
    </row>
    <row r="20" customFormat="false" ht="15" hidden="false" customHeight="false" outlineLevel="0" collapsed="false">
      <c r="A20" s="15" t="s">
        <v>34</v>
      </c>
      <c r="B20" s="15" t="s">
        <v>6</v>
      </c>
    </row>
    <row r="21" customFormat="false" ht="15" hidden="false" customHeight="false" outlineLevel="0" collapsed="false">
      <c r="A21" s="15" t="s">
        <v>35</v>
      </c>
      <c r="B21" s="15" t="s">
        <v>6</v>
      </c>
    </row>
    <row r="22" customFormat="false" ht="15" hidden="false" customHeight="false" outlineLevel="0" collapsed="false">
      <c r="A22" s="15" t="s">
        <v>36</v>
      </c>
      <c r="B22" s="15" t="s">
        <v>6</v>
      </c>
    </row>
    <row r="23" customFormat="false" ht="15" hidden="false" customHeight="false" outlineLevel="0" collapsed="false">
      <c r="A23" s="15" t="s">
        <v>37</v>
      </c>
      <c r="B23" s="15" t="s">
        <v>6</v>
      </c>
    </row>
    <row r="24" customFormat="false" ht="15" hidden="false" customHeight="false" outlineLevel="0" collapsed="false">
      <c r="A24" s="17" t="s">
        <v>38</v>
      </c>
      <c r="B24" s="17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2026-09-21T00:57:36Z</dcterms:created>
  <dc:creator>openpyxl</dc:creator>
  <dc:description/>
  <dc:language>en-US</dc:language>
  <cp:lastModifiedBy/>
  <dcterms:modified xsi:type="dcterms:W3CDTF">2026-09-21T00:57:36Z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