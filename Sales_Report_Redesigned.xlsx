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DENR DDO\Desktop\Maid My Day\NG-Churns\"/>
    </mc:Choice>
  </mc:AlternateContent>
  <xr:revisionPtr revIDLastSave="0" documentId="8_{016BFA4A-AE19-4443-87E6-14141DE94BC2}" xr6:coauthVersionLast="47" xr6:coauthVersionMax="47" xr10:uidLastSave="{00000000-0000-0000-0000-000000000000}"/>
  <bookViews>
    <workbookView xWindow="-120" yWindow="-120" windowWidth="29040" windowHeight="15840" tabRatio="500" firstSheet="3" activeTab="3" xr2:uid="{00000000-000D-0000-FFFF-FFFF00000000}"/>
  </bookViews>
  <sheets>
    <sheet name="Dashboard - EDIT" sheetId="1" r:id="rId1"/>
    <sheet name="NEW SERVICE &amp; RESUME REQUESTS" sheetId="3" r:id="rId2"/>
    <sheet name="PLACED &amp; SCHEDULED ORDERS" sheetId="4" r:id="rId3"/>
    <sheet name="ORDERS TAKEN OR GIVEN BACK" sheetId="5" r:id="rId4"/>
    <sheet name="CHURN" sheetId="6" r:id="rId5"/>
    <sheet name="SERVICE ON HOLD" sheetId="7" r:id="rId6"/>
    <sheet name="Targets" sheetId="8"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4" i="8" l="1"/>
  <c r="D74" i="8"/>
  <c r="C73" i="8"/>
  <c r="C74" i="8" s="1"/>
  <c r="G74" i="8" s="1"/>
  <c r="E70" i="8"/>
  <c r="D70" i="8"/>
  <c r="C69" i="8"/>
  <c r="C70" i="8" s="1"/>
  <c r="G70" i="8" s="1"/>
  <c r="E66" i="8"/>
  <c r="D66" i="8"/>
  <c r="C64" i="8"/>
  <c r="E61" i="8"/>
  <c r="D61" i="8"/>
  <c r="C59" i="8"/>
  <c r="F59" i="8" s="1"/>
  <c r="C58" i="8"/>
  <c r="E55" i="8"/>
  <c r="D55" i="8"/>
  <c r="C53" i="8"/>
  <c r="C52" i="8"/>
  <c r="C51" i="8"/>
  <c r="F51" i="8" s="1"/>
  <c r="C50" i="8"/>
  <c r="G50" i="8" s="1"/>
  <c r="C49" i="8"/>
  <c r="C48" i="8"/>
  <c r="C47" i="8"/>
  <c r="F47" i="8" s="1"/>
  <c r="C46" i="8"/>
  <c r="G46" i="8" s="1"/>
  <c r="C45" i="8"/>
  <c r="C44" i="8"/>
  <c r="C43" i="8"/>
  <c r="F43" i="8" s="1"/>
  <c r="C42" i="8"/>
  <c r="G42" i="8" s="1"/>
  <c r="C41" i="8"/>
  <c r="C40" i="8"/>
  <c r="C39" i="8"/>
  <c r="F39" i="8" s="1"/>
  <c r="C38" i="8"/>
  <c r="G38" i="8" s="1"/>
  <c r="C37" i="8"/>
  <c r="C36" i="8"/>
  <c r="C35" i="8"/>
  <c r="F35" i="8" s="1"/>
  <c r="C34" i="8"/>
  <c r="C33" i="8"/>
  <c r="C32" i="8"/>
  <c r="C31" i="8"/>
  <c r="F31" i="8" s="1"/>
  <c r="C30" i="8"/>
  <c r="G30" i="8" s="1"/>
  <c r="C29" i="8"/>
  <c r="C28" i="8"/>
  <c r="C27" i="8"/>
  <c r="F27" i="8" s="1"/>
  <c r="C26" i="8"/>
  <c r="G26" i="8" s="1"/>
  <c r="C25" i="8"/>
  <c r="C24" i="8"/>
  <c r="C23" i="8"/>
  <c r="F23" i="8" s="1"/>
  <c r="C22" i="8"/>
  <c r="G22" i="8" s="1"/>
  <c r="C21" i="8"/>
  <c r="C20" i="8"/>
  <c r="C19" i="8"/>
  <c r="F19" i="8" s="1"/>
  <c r="C18" i="8"/>
  <c r="G18" i="8" s="1"/>
  <c r="C17" i="8"/>
  <c r="C16" i="8"/>
  <c r="C15" i="8"/>
  <c r="F15" i="8" s="1"/>
  <c r="C14" i="8"/>
  <c r="G14" i="8" s="1"/>
  <c r="C13" i="8"/>
  <c r="C12" i="8"/>
  <c r="C11" i="8"/>
  <c r="F11" i="8" s="1"/>
  <c r="C10" i="8"/>
  <c r="G10" i="8" s="1"/>
  <c r="C9" i="8"/>
  <c r="C8" i="8"/>
  <c r="C7" i="8"/>
  <c r="F7" i="8" s="1"/>
  <c r="C6" i="8"/>
  <c r="C5" i="8"/>
  <c r="E2" i="6"/>
  <c r="E3" i="6"/>
  <c r="E4" i="6"/>
  <c r="E5" i="6"/>
  <c r="E6" i="6"/>
  <c r="E7" i="6"/>
  <c r="E8" i="6"/>
  <c r="E9" i="6"/>
  <c r="E10" i="6"/>
  <c r="E11" i="6"/>
  <c r="C268" i="1"/>
  <c r="B268" i="1"/>
  <c r="C267" i="1"/>
  <c r="B267" i="1"/>
  <c r="C266" i="1"/>
  <c r="B266" i="1"/>
  <c r="C265" i="1"/>
  <c r="B265" i="1"/>
  <c r="C264" i="1"/>
  <c r="B264" i="1"/>
  <c r="C263" i="1"/>
  <c r="B263" i="1"/>
  <c r="C262" i="1"/>
  <c r="B262" i="1"/>
  <c r="C258" i="1"/>
  <c r="B258" i="1"/>
  <c r="C257" i="1"/>
  <c r="B257" i="1"/>
  <c r="C256" i="1"/>
  <c r="B256" i="1"/>
  <c r="C255" i="1"/>
  <c r="B255" i="1"/>
  <c r="C254" i="1"/>
  <c r="B254" i="1"/>
  <c r="C253" i="1"/>
  <c r="B253" i="1"/>
  <c r="C252" i="1"/>
  <c r="B252" i="1"/>
  <c r="C248" i="1"/>
  <c r="B248" i="1"/>
  <c r="C247" i="1"/>
  <c r="B247" i="1"/>
  <c r="C246" i="1"/>
  <c r="B246" i="1"/>
  <c r="C245" i="1"/>
  <c r="B245" i="1"/>
  <c r="C244" i="1"/>
  <c r="B244" i="1"/>
  <c r="C243" i="1"/>
  <c r="B243" i="1"/>
  <c r="C242" i="1"/>
  <c r="B242" i="1"/>
  <c r="C238" i="1"/>
  <c r="B238" i="1"/>
  <c r="C237" i="1"/>
  <c r="B237" i="1"/>
  <c r="C236" i="1"/>
  <c r="B236" i="1"/>
  <c r="C235" i="1"/>
  <c r="B235" i="1"/>
  <c r="C234" i="1"/>
  <c r="B234" i="1"/>
  <c r="C233" i="1"/>
  <c r="B233" i="1"/>
  <c r="C232" i="1"/>
  <c r="B232" i="1"/>
  <c r="A228" i="1"/>
  <c r="A219" i="1"/>
  <c r="A210" i="1"/>
  <c r="A201" i="1"/>
  <c r="C191" i="1"/>
  <c r="D191" i="1" s="1"/>
  <c r="B191" i="1"/>
  <c r="C190" i="1"/>
  <c r="D190" i="1" s="1"/>
  <c r="B190" i="1"/>
  <c r="C189" i="1"/>
  <c r="D189" i="1" s="1"/>
  <c r="B189" i="1"/>
  <c r="C188" i="1"/>
  <c r="D188" i="1" s="1"/>
  <c r="B188" i="1"/>
  <c r="C187" i="1"/>
  <c r="D187" i="1" s="1"/>
  <c r="B187" i="1"/>
  <c r="C186" i="1"/>
  <c r="D186" i="1" s="1"/>
  <c r="B186" i="1"/>
  <c r="C185" i="1"/>
  <c r="D185" i="1" s="1"/>
  <c r="B185" i="1"/>
  <c r="C184" i="1"/>
  <c r="D184" i="1" s="1"/>
  <c r="B184" i="1"/>
  <c r="C183" i="1"/>
  <c r="D183" i="1" s="1"/>
  <c r="B183" i="1"/>
  <c r="C182" i="1"/>
  <c r="B182" i="1"/>
  <c r="C178" i="1"/>
  <c r="D178" i="1" s="1"/>
  <c r="B178" i="1"/>
  <c r="C177" i="1"/>
  <c r="D177" i="1" s="1"/>
  <c r="B177" i="1"/>
  <c r="C176" i="1"/>
  <c r="D176" i="1" s="1"/>
  <c r="B176" i="1"/>
  <c r="C175" i="1"/>
  <c r="D175" i="1" s="1"/>
  <c r="B175" i="1"/>
  <c r="C174" i="1"/>
  <c r="D174" i="1" s="1"/>
  <c r="B174" i="1"/>
  <c r="C173" i="1"/>
  <c r="D173" i="1" s="1"/>
  <c r="B173" i="1"/>
  <c r="C172" i="1"/>
  <c r="D172" i="1" s="1"/>
  <c r="B172" i="1"/>
  <c r="C171" i="1"/>
  <c r="D171" i="1" s="1"/>
  <c r="B171" i="1"/>
  <c r="C170" i="1"/>
  <c r="D170" i="1" s="1"/>
  <c r="B170" i="1"/>
  <c r="C169" i="1"/>
  <c r="D169" i="1" s="1"/>
  <c r="B169" i="1"/>
  <c r="C165" i="1"/>
  <c r="D165" i="1" s="1"/>
  <c r="B165" i="1"/>
  <c r="C164" i="1"/>
  <c r="D164" i="1" s="1"/>
  <c r="B164" i="1"/>
  <c r="C163" i="1"/>
  <c r="D163" i="1" s="1"/>
  <c r="B163" i="1"/>
  <c r="C162" i="1"/>
  <c r="D162" i="1" s="1"/>
  <c r="B162" i="1"/>
  <c r="C161" i="1"/>
  <c r="D161" i="1" s="1"/>
  <c r="B161" i="1"/>
  <c r="C160" i="1"/>
  <c r="D160" i="1" s="1"/>
  <c r="B160" i="1"/>
  <c r="C159" i="1"/>
  <c r="D159" i="1" s="1"/>
  <c r="B159" i="1"/>
  <c r="C158" i="1"/>
  <c r="D158" i="1" s="1"/>
  <c r="B158" i="1"/>
  <c r="C157" i="1"/>
  <c r="D157" i="1" s="1"/>
  <c r="B157" i="1"/>
  <c r="C156" i="1"/>
  <c r="B156" i="1"/>
  <c r="C152" i="1"/>
  <c r="D152" i="1" s="1"/>
  <c r="B152" i="1"/>
  <c r="C151" i="1"/>
  <c r="D151" i="1" s="1"/>
  <c r="B151" i="1"/>
  <c r="C150" i="1"/>
  <c r="D150" i="1" s="1"/>
  <c r="B150" i="1"/>
  <c r="C149" i="1"/>
  <c r="D149" i="1" s="1"/>
  <c r="B149" i="1"/>
  <c r="C148" i="1"/>
  <c r="D148" i="1" s="1"/>
  <c r="B148" i="1"/>
  <c r="C147" i="1"/>
  <c r="D147" i="1" s="1"/>
  <c r="B147" i="1"/>
  <c r="C146" i="1"/>
  <c r="D146" i="1" s="1"/>
  <c r="B146" i="1"/>
  <c r="C145" i="1"/>
  <c r="D145" i="1" s="1"/>
  <c r="B145" i="1"/>
  <c r="C144" i="1"/>
  <c r="D144" i="1" s="1"/>
  <c r="B144" i="1"/>
  <c r="C143" i="1"/>
  <c r="D143" i="1" s="1"/>
  <c r="B143" i="1"/>
  <c r="C142" i="1"/>
  <c r="D142" i="1" s="1"/>
  <c r="B142" i="1"/>
  <c r="C141" i="1"/>
  <c r="D141" i="1" s="1"/>
  <c r="B141" i="1"/>
  <c r="C140" i="1"/>
  <c r="D140" i="1" s="1"/>
  <c r="B140" i="1"/>
  <c r="C139" i="1"/>
  <c r="D139" i="1" s="1"/>
  <c r="B139" i="1"/>
  <c r="C138" i="1"/>
  <c r="D138" i="1" s="1"/>
  <c r="B138" i="1"/>
  <c r="C137" i="1"/>
  <c r="D137" i="1" s="1"/>
  <c r="B137" i="1"/>
  <c r="C136" i="1"/>
  <c r="D136" i="1" s="1"/>
  <c r="B136" i="1"/>
  <c r="C135" i="1"/>
  <c r="D135" i="1" s="1"/>
  <c r="B135" i="1"/>
  <c r="B130" i="1"/>
  <c r="B129" i="1"/>
  <c r="B128" i="1"/>
  <c r="B127" i="1"/>
  <c r="B126" i="1"/>
  <c r="B125" i="1"/>
  <c r="D121" i="1"/>
  <c r="C121" i="1"/>
  <c r="B121" i="1"/>
  <c r="D120" i="1"/>
  <c r="C120" i="1"/>
  <c r="B120" i="1"/>
  <c r="D119" i="1"/>
  <c r="C119" i="1"/>
  <c r="B119" i="1"/>
  <c r="D118" i="1"/>
  <c r="C118" i="1"/>
  <c r="B118" i="1"/>
  <c r="D117" i="1"/>
  <c r="C117" i="1"/>
  <c r="B117" i="1"/>
  <c r="D116" i="1"/>
  <c r="C116" i="1"/>
  <c r="B116" i="1"/>
  <c r="D115" i="1"/>
  <c r="C115" i="1"/>
  <c r="B115" i="1"/>
  <c r="D114" i="1"/>
  <c r="C114" i="1"/>
  <c r="B114" i="1"/>
  <c r="D113" i="1"/>
  <c r="C113" i="1"/>
  <c r="B113" i="1"/>
  <c r="D112" i="1"/>
  <c r="C112" i="1"/>
  <c r="B112" i="1"/>
  <c r="D111" i="1"/>
  <c r="C111" i="1"/>
  <c r="B111" i="1"/>
  <c r="D110" i="1"/>
  <c r="C110" i="1"/>
  <c r="B110" i="1"/>
  <c r="D109" i="1"/>
  <c r="C109" i="1"/>
  <c r="B109" i="1"/>
  <c r="D108" i="1"/>
  <c r="C108" i="1"/>
  <c r="B108" i="1"/>
  <c r="D107" i="1"/>
  <c r="C107" i="1"/>
  <c r="B107" i="1"/>
  <c r="D106" i="1"/>
  <c r="C106" i="1"/>
  <c r="B106" i="1"/>
  <c r="D105" i="1"/>
  <c r="C105" i="1"/>
  <c r="B105" i="1"/>
  <c r="D104" i="1"/>
  <c r="C104" i="1"/>
  <c r="B104" i="1"/>
  <c r="D103" i="1"/>
  <c r="C103" i="1"/>
  <c r="B103" i="1"/>
  <c r="D102" i="1"/>
  <c r="C102" i="1"/>
  <c r="B102" i="1"/>
  <c r="D101" i="1"/>
  <c r="C101" i="1"/>
  <c r="B101" i="1"/>
  <c r="D100" i="1"/>
  <c r="C100" i="1"/>
  <c r="B100" i="1"/>
  <c r="D99" i="1"/>
  <c r="C99" i="1"/>
  <c r="B99" i="1"/>
  <c r="D98" i="1"/>
  <c r="C98" i="1"/>
  <c r="B98" i="1"/>
  <c r="D97" i="1"/>
  <c r="C97" i="1"/>
  <c r="B97" i="1"/>
  <c r="D96" i="1"/>
  <c r="C96" i="1"/>
  <c r="B96" i="1"/>
  <c r="D95" i="1"/>
  <c r="C95" i="1"/>
  <c r="B95" i="1"/>
  <c r="D94" i="1"/>
  <c r="C94" i="1"/>
  <c r="B94" i="1"/>
  <c r="D93" i="1"/>
  <c r="C93" i="1"/>
  <c r="B93" i="1"/>
  <c r="D92" i="1"/>
  <c r="C92" i="1"/>
  <c r="B92" i="1"/>
  <c r="D91" i="1"/>
  <c r="C91" i="1"/>
  <c r="B91" i="1"/>
  <c r="D90" i="1"/>
  <c r="C90" i="1"/>
  <c r="B90" i="1"/>
  <c r="D89" i="1"/>
  <c r="C89" i="1"/>
  <c r="B89" i="1"/>
  <c r="D88" i="1"/>
  <c r="C88" i="1"/>
  <c r="B88" i="1"/>
  <c r="D87" i="1"/>
  <c r="C87" i="1"/>
  <c r="B87" i="1"/>
  <c r="D86" i="1"/>
  <c r="C86" i="1"/>
  <c r="B86" i="1"/>
  <c r="D85" i="1"/>
  <c r="C85" i="1"/>
  <c r="B85" i="1"/>
  <c r="D84" i="1"/>
  <c r="C84" i="1"/>
  <c r="B84" i="1"/>
  <c r="D83" i="1"/>
  <c r="C83" i="1"/>
  <c r="B83" i="1"/>
  <c r="D82" i="1"/>
  <c r="C82" i="1"/>
  <c r="B82" i="1"/>
  <c r="D81" i="1"/>
  <c r="C81" i="1"/>
  <c r="B81" i="1"/>
  <c r="D80" i="1"/>
  <c r="C80" i="1"/>
  <c r="B80" i="1"/>
  <c r="D79" i="1"/>
  <c r="C79" i="1"/>
  <c r="B79" i="1"/>
  <c r="D78" i="1"/>
  <c r="C78" i="1"/>
  <c r="B78" i="1"/>
  <c r="D77" i="1"/>
  <c r="C77" i="1"/>
  <c r="B77" i="1"/>
  <c r="D76" i="1"/>
  <c r="C76" i="1"/>
  <c r="B76" i="1"/>
  <c r="D75" i="1"/>
  <c r="C75" i="1"/>
  <c r="B75" i="1"/>
  <c r="D74" i="1"/>
  <c r="C74" i="1"/>
  <c r="B74" i="1"/>
  <c r="D73" i="1"/>
  <c r="C73" i="1"/>
  <c r="B73" i="1"/>
  <c r="K7" i="1"/>
  <c r="I7" i="1"/>
  <c r="G7" i="1"/>
  <c r="E7" i="1"/>
  <c r="C7" i="1"/>
  <c r="A7" i="1"/>
  <c r="C54" i="8" l="1"/>
  <c r="G5" i="8"/>
  <c r="G6" i="8"/>
  <c r="F6" i="8"/>
  <c r="G8" i="8"/>
  <c r="F8" i="8"/>
  <c r="F9" i="8"/>
  <c r="G9" i="8"/>
  <c r="G12" i="8"/>
  <c r="F12" i="8"/>
  <c r="F13" i="8"/>
  <c r="G13" i="8"/>
  <c r="G16" i="8"/>
  <c r="F16" i="8"/>
  <c r="F17" i="8"/>
  <c r="G17" i="8"/>
  <c r="G20" i="8"/>
  <c r="F20" i="8"/>
  <c r="F21" i="8"/>
  <c r="G21" i="8"/>
  <c r="G24" i="8"/>
  <c r="F24" i="8"/>
  <c r="F25" i="8"/>
  <c r="G25" i="8"/>
  <c r="G28" i="8"/>
  <c r="F28" i="8"/>
  <c r="F29" i="8"/>
  <c r="G29" i="8"/>
  <c r="G32" i="8"/>
  <c r="F32" i="8"/>
  <c r="F33" i="8"/>
  <c r="G33" i="8"/>
  <c r="G34" i="8"/>
  <c r="F34" i="8"/>
  <c r="G36" i="8"/>
  <c r="F36" i="8"/>
  <c r="F37" i="8"/>
  <c r="G37" i="8"/>
  <c r="G40" i="8"/>
  <c r="F40" i="8"/>
  <c r="F41" i="8"/>
  <c r="G41" i="8"/>
  <c r="G44" i="8"/>
  <c r="F44" i="8"/>
  <c r="F45" i="8"/>
  <c r="G45" i="8"/>
  <c r="G48" i="8"/>
  <c r="F48" i="8"/>
  <c r="F49" i="8"/>
  <c r="G49" i="8"/>
  <c r="G52" i="8"/>
  <c r="F52" i="8"/>
  <c r="F53" i="8"/>
  <c r="G53" i="8"/>
  <c r="G58" i="8"/>
  <c r="F58" i="8"/>
  <c r="C65" i="8"/>
  <c r="G65" i="8" s="1"/>
  <c r="B131" i="1"/>
  <c r="C217" i="1"/>
  <c r="B216" i="1"/>
  <c r="A215" i="1"/>
  <c r="C218" i="1"/>
  <c r="B217" i="1"/>
  <c r="A216" i="1"/>
  <c r="C214" i="1"/>
  <c r="B218" i="1"/>
  <c r="A217" i="1"/>
  <c r="C215" i="1"/>
  <c r="B214" i="1"/>
  <c r="A218" i="1"/>
  <c r="C216" i="1"/>
  <c r="B215" i="1"/>
  <c r="A214" i="1"/>
  <c r="G54" i="8"/>
  <c r="F54" i="8"/>
  <c r="C199" i="1"/>
  <c r="B198" i="1"/>
  <c r="A197" i="1"/>
  <c r="C200" i="1"/>
  <c r="B199" i="1"/>
  <c r="A198" i="1"/>
  <c r="C196" i="1"/>
  <c r="B200" i="1"/>
  <c r="A199" i="1"/>
  <c r="C197" i="1"/>
  <c r="B196" i="1"/>
  <c r="A200" i="1"/>
  <c r="C198" i="1"/>
  <c r="B197" i="1"/>
  <c r="A196" i="1"/>
  <c r="D156" i="1"/>
  <c r="D182" i="1"/>
  <c r="G7" i="8"/>
  <c r="F10" i="8"/>
  <c r="G11" i="8"/>
  <c r="F14" i="8"/>
  <c r="G15" i="8"/>
  <c r="F18" i="8"/>
  <c r="G19" i="8"/>
  <c r="F22" i="8"/>
  <c r="G23" i="8"/>
  <c r="F26" i="8"/>
  <c r="G27" i="8"/>
  <c r="F30" i="8"/>
  <c r="G31" i="8"/>
  <c r="G35" i="8"/>
  <c r="F38" i="8"/>
  <c r="G39" i="8"/>
  <c r="F42" i="8"/>
  <c r="G43" i="8"/>
  <c r="F46" i="8"/>
  <c r="G47" i="8"/>
  <c r="F50" i="8"/>
  <c r="G51" i="8"/>
  <c r="G59" i="8"/>
  <c r="F5" i="8"/>
  <c r="C60" i="8"/>
  <c r="C61" i="8" s="1"/>
  <c r="G61" i="8" s="1"/>
  <c r="F65" i="8"/>
  <c r="F69" i="8"/>
  <c r="F70" i="8" s="1"/>
  <c r="F73" i="8"/>
  <c r="F74" i="8" s="1"/>
  <c r="C55" i="8"/>
  <c r="G55" i="8" s="1"/>
  <c r="F64" i="8"/>
  <c r="G69" i="8"/>
  <c r="G73" i="8"/>
  <c r="G64" i="8"/>
  <c r="C66" i="8" l="1"/>
  <c r="G66" i="8" s="1"/>
  <c r="F66" i="8"/>
  <c r="B219" i="1"/>
  <c r="C219" i="1"/>
  <c r="B201" i="1"/>
  <c r="C201" i="1"/>
  <c r="B209" i="1"/>
  <c r="A208" i="1"/>
  <c r="C206" i="1"/>
  <c r="B205" i="1"/>
  <c r="A209" i="1"/>
  <c r="C207" i="1"/>
  <c r="B206" i="1"/>
  <c r="A205" i="1"/>
  <c r="C208" i="1"/>
  <c r="B207" i="1"/>
  <c r="A206" i="1"/>
  <c r="C209" i="1"/>
  <c r="B208" i="1"/>
  <c r="A207" i="1"/>
  <c r="C205" i="1"/>
  <c r="G60" i="8"/>
  <c r="F60" i="8"/>
  <c r="F61" i="8" s="1"/>
  <c r="F55" i="8"/>
  <c r="B227" i="1"/>
  <c r="A226" i="1"/>
  <c r="C224" i="1"/>
  <c r="B223" i="1"/>
  <c r="A227" i="1"/>
  <c r="C225" i="1"/>
  <c r="B224" i="1"/>
  <c r="A223" i="1"/>
  <c r="C226" i="1"/>
  <c r="B225" i="1"/>
  <c r="A224" i="1"/>
  <c r="C227" i="1"/>
  <c r="B226" i="1"/>
  <c r="A225" i="1"/>
  <c r="C223" i="1"/>
  <c r="B210" i="1" l="1"/>
  <c r="C228" i="1"/>
  <c r="B228" i="1"/>
  <c r="C2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 authorId="0" shapeId="0" xr:uid="{00000000-0006-0000-0200-000001000000}">
      <text>
        <r>
          <rPr>
            <sz val="10"/>
            <rFont val="Arial"/>
            <family val="2"/>
          </rPr>
          <t>The original report's printed "Total" for this section read 142, but summing the individual detail rows (and the per-client target rows) both give 141 — a one-off drift from manual retyping. This table is now the single source; every total elsewhere in this workbook is a formula that reads from 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0"/>
            <rFont val="Arial"/>
            <family val="2"/>
          </rPr>
          <t>The original report's printed "Total" for this section read 142, but summing the individual detail rows (and the per-client target rows) both give 141 — a one-off drift from manual retyping. This table is now the single source; every total elsewhere in this workbook is a formula that reads from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400-000001000000}">
      <text>
        <r>
          <rPr>
            <sz val="10"/>
            <rFont val="Arial"/>
            <family val="2"/>
          </rPr>
          <t>The original report's printed "Total" for this section read 142, but summing the individual detail rows (and the per-client target rows) both give 141 — a one-off drift from manual retyping. This table is now the single source; every total elsewhere in this workbook is a formula that reads from 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0"/>
            <rFont val="Arial"/>
            <family val="2"/>
          </rPr>
          <t>The original report's printed "Total" for this section read 142, but summing the individual detail rows (and the per-client target rows) both give 141 — a one-off drift from manual retyping. This table is now the single source; every total elsewhere in this workbook is a formula that reads from it.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54" authorId="0" shapeId="0" xr:uid="{00000000-0006-0000-0700-000001000000}">
      <text>
        <r>
          <rPr>
            <sz val="10"/>
            <rFont val="Arial"/>
            <family val="2"/>
          </rPr>
          <t>Two records in the June sample land here: "Christine Britton - Emerald" is logged under client "GenU" (no space) instead of "Gen U", and "Nellina Sebastian - Kingsbury" is logged under "Trilogy Care", which was not in the original target list at all. Worth checking whether "GenU" is a typo or a real distinct GenU sub-account, and whether Trilogy Care should get its own target.</t>
        </r>
      </text>
    </comment>
    <comment ref="D58" authorId="0" shapeId="0" xr:uid="{00000000-0006-0000-0700-000002000000}">
      <text>
        <r>
          <rPr>
            <sz val="10"/>
            <rFont val="Arial"/>
            <family val="2"/>
          </rPr>
          <t>TBD — placeholder until account management sets a real churn target for Goodwin.</t>
        </r>
      </text>
    </comment>
    <comment ref="D59" authorId="0" shapeId="0" xr:uid="{00000000-0006-0000-0700-000003000000}">
      <text>
        <r>
          <rPr>
            <sz val="10"/>
            <rFont val="Arial"/>
            <family val="2"/>
          </rPr>
          <t>TBD — placeholder until account management sets a real churn target for Australian Unity.</t>
        </r>
      </text>
    </comment>
    <comment ref="D64" authorId="0" shapeId="0" xr:uid="{00000000-0006-0000-0700-000004000000}">
      <text>
        <r>
          <rPr>
            <sz val="10"/>
            <rFont val="Arial"/>
            <family val="2"/>
          </rPr>
          <t>TBD — placeholder until account management sets a real target for orders taken back, by funder.</t>
        </r>
      </text>
    </comment>
  </commentList>
</comments>
</file>

<file path=xl/sharedStrings.xml><?xml version="1.0" encoding="utf-8"?>
<sst xmlns="http://schemas.openxmlformats.org/spreadsheetml/2006/main" count="1137" uniqueCount="371">
  <si>
    <t>SALES REPORT (AUTOMATED)</t>
  </si>
  <si>
    <t>Filter by month:</t>
  </si>
  <si>
    <t>All</t>
  </si>
  <si>
    <t>New service</t>
  </si>
  <si>
    <t>Placed &amp; scheduled</t>
  </si>
  <si>
    <t>Orders taken back</t>
  </si>
  <si>
    <t>Service on hold</t>
  </si>
  <si>
    <t>Churn</t>
  </si>
  <si>
    <t>Net gain / loss</t>
  </si>
  <si>
    <t>By state</t>
  </si>
  <si>
    <t>Aged Care (New Service &amp; Resume Requests)</t>
  </si>
  <si>
    <t>Already Received</t>
  </si>
  <si>
    <t>Targeted</t>
  </si>
  <si>
    <t>Value</t>
  </si>
  <si>
    <t>Resi</t>
  </si>
  <si>
    <t>Silverchain VIC</t>
  </si>
  <si>
    <t>Silverchain NSW</t>
  </si>
  <si>
    <t>Silverchain QLD</t>
  </si>
  <si>
    <t>Silverchain SA</t>
  </si>
  <si>
    <t>Silverchain TAS</t>
  </si>
  <si>
    <t>Silverchain ACT</t>
  </si>
  <si>
    <t>Blue Cross</t>
  </si>
  <si>
    <t>Baptist Inner West/East</t>
  </si>
  <si>
    <t>Baptist Western</t>
  </si>
  <si>
    <t>Baptist ACT</t>
  </si>
  <si>
    <t>Bodewell</t>
  </si>
  <si>
    <t>Anglicare</t>
  </si>
  <si>
    <t>Uniting</t>
  </si>
  <si>
    <t>OLOC</t>
  </si>
  <si>
    <t>Catholics</t>
  </si>
  <si>
    <t>Calvary Syd</t>
  </si>
  <si>
    <t>Calvary Melb</t>
  </si>
  <si>
    <t>Calvary Shepparton</t>
  </si>
  <si>
    <t>Calvary Hunter</t>
  </si>
  <si>
    <t>Calvary Gippsland</t>
  </si>
  <si>
    <t>Calvary South Australia</t>
  </si>
  <si>
    <t>ADEC</t>
  </si>
  <si>
    <t>My Home Care</t>
  </si>
  <si>
    <t>BaptCare</t>
  </si>
  <si>
    <t>Australian Unity</t>
  </si>
  <si>
    <t>Hammondcare</t>
  </si>
  <si>
    <t>Vitality Club</t>
  </si>
  <si>
    <t>Fresh Approach</t>
  </si>
  <si>
    <t>EML- Prestige</t>
  </si>
  <si>
    <t>Dr. Care Solutions</t>
  </si>
  <si>
    <t>Bolton Clarke</t>
  </si>
  <si>
    <t>Goodwin</t>
  </si>
  <si>
    <t>Home Instead</t>
  </si>
  <si>
    <t>1st Care Community</t>
  </si>
  <si>
    <t>NDIS</t>
  </si>
  <si>
    <t>Gen U</t>
  </si>
  <si>
    <t>IRT</t>
  </si>
  <si>
    <t>Home Caring</t>
  </si>
  <si>
    <t>Focus Care</t>
  </si>
  <si>
    <t>Pearl HomeCare Melbourne West</t>
  </si>
  <si>
    <t>Home Caring Maitland</t>
  </si>
  <si>
    <t>Kinder Caring</t>
  </si>
  <si>
    <t>Dissability Connect</t>
  </si>
  <si>
    <t>Breakthru</t>
  </si>
  <si>
    <t>Pearl Home Care</t>
  </si>
  <si>
    <t>Regis Aged Care</t>
  </si>
  <si>
    <t>Five Good Friends</t>
  </si>
  <si>
    <t>Home Aged Care Services</t>
  </si>
  <si>
    <t>Top exit reasons (Churn / Orders Taken categories)</t>
  </si>
  <si>
    <t>Reason</t>
  </si>
  <si>
    <t>Count</t>
  </si>
  <si>
    <t>No reason provided</t>
  </si>
  <si>
    <t>Moved to inhouse</t>
  </si>
  <si>
    <t>Discharged</t>
  </si>
  <si>
    <t>Hospitalisation</t>
  </si>
  <si>
    <t>Deceased</t>
  </si>
  <si>
    <t>Changed provider</t>
  </si>
  <si>
    <t>Other / not yet categorised</t>
  </si>
  <si>
    <t>New Service &amp; Resume Requests — Client</t>
  </si>
  <si>
    <t>Total Value</t>
  </si>
  <si>
    <t>Home CarIng</t>
  </si>
  <si>
    <t>Trilogy Care</t>
  </si>
  <si>
    <t>GEN U</t>
  </si>
  <si>
    <t>GenU</t>
  </si>
  <si>
    <t>Placed &amp; Scheduled Orders — Client</t>
  </si>
  <si>
    <t>Orders Taken or Given Back — Client</t>
  </si>
  <si>
    <t>Service On Hold — Client</t>
  </si>
  <si>
    <t>TOP 5 + OTHER — what the bar charts above actually read. Ranked live off the full breakdown above via LARGE/INDEX/MATCH; recalculates automatically as source data changes.</t>
  </si>
  <si>
    <t>New Service &amp; Resume Requests — Top 5 + Other</t>
  </si>
  <si>
    <t>Placed &amp; Scheduled Orders — Top 5 + Other</t>
  </si>
  <si>
    <t>Orders Taken or Given Back — Top 5 + Other</t>
  </si>
  <si>
    <t>Service On Hold — Top 5 + Other</t>
  </si>
  <si>
    <t>Placed &amp; Scheduled Orders by State — mirrors the "New Service &amp; Resume Requests by State" table above; feeds the chart below.</t>
  </si>
  <si>
    <t>State</t>
  </si>
  <si>
    <t>Requests</t>
  </si>
  <si>
    <t>NSW</t>
  </si>
  <si>
    <t>ACT</t>
  </si>
  <si>
    <t>VIC</t>
  </si>
  <si>
    <t>QLD</t>
  </si>
  <si>
    <t>South Australia</t>
  </si>
  <si>
    <t>Tasmania</t>
  </si>
  <si>
    <t>Western Australia</t>
  </si>
  <si>
    <t>Orders Taken or Given Back by State — mirrors the "New Service &amp; Resume Requests by State" table above; feeds the chart below.</t>
  </si>
  <si>
    <t>Service On Hold by State — mirrors the "New Service &amp; Resume Requests by State" table above; feeds the chart below.</t>
  </si>
  <si>
    <t>Add a new row below the table with these eight fields. State and Category use dropdown lists to prevent typos. Service Exit Date and Reason apply only to Churn and Orders Taken or Given Back records — leave blank for other categories. The Dashboard and Targets tabs update automatically — nothing else to touch.</t>
  </si>
  <si>
    <t>Add a new row below the table with these six fields. State and Category use dropdown lists to prevent typos. The Dashboard and Targets tabs update automatically — nothing else to touch.</t>
  </si>
  <si>
    <t>ID</t>
  </si>
  <si>
    <t>Category</t>
  </si>
  <si>
    <t>Customer / Suburb</t>
  </si>
  <si>
    <t>Aged Care</t>
  </si>
  <si>
    <t>Date</t>
  </si>
  <si>
    <t>New Service &amp; Resume Requests</t>
  </si>
  <si>
    <t>Judith Gorton - Chiswick</t>
  </si>
  <si>
    <t>Yvonne Jackson - Belmont</t>
  </si>
  <si>
    <t>Elaine Kastelan - Blacktown</t>
  </si>
  <si>
    <t>Con Batalis - Blacktown</t>
  </si>
  <si>
    <t>Jean Abrecrombie - Elermore Vale</t>
  </si>
  <si>
    <t>Grace O'reilly - Waratah West</t>
  </si>
  <si>
    <t>Marie Curteis - Waratah</t>
  </si>
  <si>
    <t>Jean Abrecrombie-Elermore Vale</t>
  </si>
  <si>
    <t>Valeriana Rodricks - Ingleburn</t>
  </si>
  <si>
    <t>Denis John Cooper - BRADBURY,</t>
  </si>
  <si>
    <t>Jacqueline Rose Moulston - Toongabie</t>
  </si>
  <si>
    <t>Angelita Zafra - Belmont North</t>
  </si>
  <si>
    <t>Abdul Ebrahimi = Rouse Hill</t>
  </si>
  <si>
    <t>Joseph Leon - Tighes Hill</t>
  </si>
  <si>
    <t>Name Rosaria Gullotto - carlingford</t>
  </si>
  <si>
    <t>Mary-Anne Mauceri - Blacktown</t>
  </si>
  <si>
    <t>RAE PAINE - Penrith</t>
  </si>
  <si>
    <t>Carol Wisman - Mayfield</t>
  </si>
  <si>
    <t>Pauline MONTESIN-Matraville</t>
  </si>
  <si>
    <t>Judith Tuckwell - SHORTLAND</t>
  </si>
  <si>
    <t>Robert Reid - Blue Haven</t>
  </si>
  <si>
    <t>Myra joyce Vines - Greystanes</t>
  </si>
  <si>
    <t>Alex Ozmen - MARRICKVILLE</t>
  </si>
  <si>
    <t>Linda McLennan - Cammeray</t>
  </si>
  <si>
    <t>Rosaria Gullotto - Carlingford</t>
  </si>
  <si>
    <t>Allan John Ernest Gambier - BRADBURY</t>
  </si>
  <si>
    <t>Milica Milenkovicv -  Glenmore Park,</t>
  </si>
  <si>
    <t>Hemalatha Jegasothy - KELLYVILLE</t>
  </si>
  <si>
    <t>Christine Dixon - O'connor</t>
  </si>
  <si>
    <t>Amelia S Siulangapo - Nicholls</t>
  </si>
  <si>
    <t>Charlotte Grace Birtles - Higgins</t>
  </si>
  <si>
    <t>Mrs Mary Macnish - Farrer</t>
  </si>
  <si>
    <t>Robyn Riding -Giralang</t>
  </si>
  <si>
    <t>Elizabeth Ann Forshaw - Amaroo</t>
  </si>
  <si>
    <t>C-306350 James Payne - Nicholls</t>
  </si>
  <si>
    <t>Jeanne Gomes - Monash</t>
  </si>
  <si>
    <t>Christine Rogerson - Monash</t>
  </si>
  <si>
    <t>Maria Apostoloff - Fisher</t>
  </si>
  <si>
    <t>Mr Alan Winn - Ainslie</t>
  </si>
  <si>
    <t>Jennifer D'Emilio- Cook</t>
  </si>
  <si>
    <t>Swinitha Nawana - Rivett</t>
  </si>
  <si>
    <t>Joan Rule - Melba</t>
  </si>
  <si>
    <t>Bruce Pollock - Chifley</t>
  </si>
  <si>
    <t>Charles Smith - Gordon</t>
  </si>
  <si>
    <t>Chris Demetriou - Gordon</t>
  </si>
  <si>
    <t>Mr John Cosgrave - Ainslie</t>
  </si>
  <si>
    <t>Mariangela Cugliari - Altona North</t>
  </si>
  <si>
    <t>LOIS BARBARA HOLDEN - CROYDON</t>
  </si>
  <si>
    <t>Nellina Sebastian - KINGSBURY</t>
  </si>
  <si>
    <t>Elizabeth Fitzgerald - MAROOCHYDORE</t>
  </si>
  <si>
    <t>Marcia Lillian TAYLOR- Bundoora</t>
  </si>
  <si>
    <t>Catherine Kingsley - blackburn</t>
  </si>
  <si>
    <t>Gary Hill - Dalyston</t>
  </si>
  <si>
    <t>Karyn Robina COGDELL - Lima East</t>
  </si>
  <si>
    <t>Lorraine May Schaefer - Pakenham</t>
  </si>
  <si>
    <t>Dorothy (Wendy) Martini - Eltham</t>
  </si>
  <si>
    <t>Samiha Antonious</t>
  </si>
  <si>
    <t>Jeff Read- Benalla</t>
  </si>
  <si>
    <t>Jagrag Singh - Narre Warren</t>
  </si>
  <si>
    <t>Samiha Antonious- Ashwood</t>
  </si>
  <si>
    <t>Christine Britton- Emerald</t>
  </si>
  <si>
    <t>Hillary Galagher - Corinda</t>
  </si>
  <si>
    <t>Brian Martin - West Lakes</t>
  </si>
  <si>
    <t>Janet Wuttke - Athelstone</t>
  </si>
  <si>
    <t>Augustina Thomas - Woodville West,</t>
  </si>
  <si>
    <t>Elvie Oke- Fairview Park</t>
  </si>
  <si>
    <t>Robin Nosworthy - Peterhead</t>
  </si>
  <si>
    <t>Aiqing Tan- Rostrevor</t>
  </si>
  <si>
    <t>Susan Thiele - Oaklands park</t>
  </si>
  <si>
    <t>Dorothy Wilkinson - Holden Hill</t>
  </si>
  <si>
    <t>John Chua - Hallett Cove</t>
  </si>
  <si>
    <t>Peggie Chu - PARADISE</t>
  </si>
  <si>
    <t>Jeanette Hall- Parafield Gardens</t>
  </si>
  <si>
    <t>Cristina D'Onofrio - Campbelltown</t>
  </si>
  <si>
    <t>Patricia Almeroth - Parafield Gardens</t>
  </si>
  <si>
    <t>Thelma Walker - Stepney</t>
  </si>
  <si>
    <t>Reginald Pattimore - Sheidow Park,</t>
  </si>
  <si>
    <t>Gail French - Hawthorn Road</t>
  </si>
  <si>
    <t>Kathryn Ramsay - Pasadena</t>
  </si>
  <si>
    <t>Peggy Davis - Craigburn Farm</t>
  </si>
  <si>
    <t>Carl Atkinson- Morphet Vale</t>
  </si>
  <si>
    <t>Dina Tarca - Glenelg</t>
  </si>
  <si>
    <t>Sheelagh Steele - Walkerville</t>
  </si>
  <si>
    <t>Graham Davison - South Brighton</t>
  </si>
  <si>
    <t>Lynette Head - ONE TREE HILL</t>
  </si>
  <si>
    <t>Gunther Andrzejczak - Hope Valley,</t>
  </si>
  <si>
    <t>Mark Rampling - Coromandel Valley</t>
  </si>
  <si>
    <t>Shellae Busuttil -  Morphett Vale,</t>
  </si>
  <si>
    <t>Louise Denley - Magill</t>
  </si>
  <si>
    <t>Perry Weibel - Smithfield</t>
  </si>
  <si>
    <t>Pamela Dennis - Mitcham</t>
  </si>
  <si>
    <t>Paul Claridge- Plympton Park,</t>
  </si>
  <si>
    <t>Kevin Joseph - Kilkenny</t>
  </si>
  <si>
    <t>Jim Nelsen - Fulham</t>
  </si>
  <si>
    <t>Rod Bax -  Holden Hill</t>
  </si>
  <si>
    <t>Jennifer Jacobs - new port</t>
  </si>
  <si>
    <t>Gerard Kilgallon - Ethelton</t>
  </si>
  <si>
    <t>Kay Alexander. - Paralowie</t>
  </si>
  <si>
    <t>Margaret Darzanos - Windsor Gardens</t>
  </si>
  <si>
    <t>Pamela Smith - Paradise</t>
  </si>
  <si>
    <t>Janet Wade - Sturt</t>
  </si>
  <si>
    <t>Kathleen Cotter  - Nortwood</t>
  </si>
  <si>
    <t>Francesca Tripodi - Seaton</t>
  </si>
  <si>
    <t>Carol Hughes  O'Sullivan Beach</t>
  </si>
  <si>
    <t>Maria Bruce - banksia Park</t>
  </si>
  <si>
    <t>Giovanni Fiorito - Hope valley</t>
  </si>
  <si>
    <t>Elfriede Roeffen - Warradale</t>
  </si>
  <si>
    <t>Dianne Hudson - Collinswood</t>
  </si>
  <si>
    <t>Denice Tinsley -  Aldinga Beach</t>
  </si>
  <si>
    <t>Rod Bax – HOLDEN HILL'</t>
  </si>
  <si>
    <t>Jennifer Jacobs - New Port,</t>
  </si>
  <si>
    <t>Kay Alexander - Paralowie</t>
  </si>
  <si>
    <t>Diana Trotman -- Glenelg</t>
  </si>
  <si>
    <t>Joan Muegge - Clearview</t>
  </si>
  <si>
    <t>Craig Richardson - Oaklands Park</t>
  </si>
  <si>
    <t>Patrick Talbot- Hampstead</t>
  </si>
  <si>
    <t>Kay Rooney - Ferryden Park</t>
  </si>
  <si>
    <t>Elspeth Walker - Croydon Park</t>
  </si>
  <si>
    <t>Virginnia Glatter - Port Noarlunga</t>
  </si>
  <si>
    <t>June Burden-Smith - Woodville West</t>
  </si>
  <si>
    <t>Joe Bivone - Greenwith</t>
  </si>
  <si>
    <t>Angelina Stephenson -- Semaphore Park</t>
  </si>
  <si>
    <t>Jayne Raines - Grange</t>
  </si>
  <si>
    <t>Erika Martens - Semaphore Park</t>
  </si>
  <si>
    <t>Maxine Keelan - Greenwith</t>
  </si>
  <si>
    <t>Cynthia Williss - Somerton Park,</t>
  </si>
  <si>
    <t>Lyn Donohue - Hallett Cove,</t>
  </si>
  <si>
    <t>Heather Gale - Greenwith</t>
  </si>
  <si>
    <t>Janice Stead - Mawson Lakes</t>
  </si>
  <si>
    <t>Robert Smith - Para Hills West,</t>
  </si>
  <si>
    <t>Gail Pryor - Penfield</t>
  </si>
  <si>
    <t>Margaret Lucas - Eden Hills</t>
  </si>
  <si>
    <t>Yolanda Delucia - Paradise</t>
  </si>
  <si>
    <t>Pauline Faye Goodall - Brighton</t>
  </si>
  <si>
    <t>Barbara Bartly - Walkley Heights</t>
  </si>
  <si>
    <t>Jadwiga Szymanik - Modbury</t>
  </si>
  <si>
    <t>Astrid Sorrell - Malvern</t>
  </si>
  <si>
    <t>Antonio Ravese - Valley View</t>
  </si>
  <si>
    <t>Maria Belperio -  Holden Hill</t>
  </si>
  <si>
    <t>Placed &amp; Scheduled Orders</t>
  </si>
  <si>
    <t>Alan Whitfield - Penrith</t>
  </si>
  <si>
    <t>Colleen Baxter - Frankston</t>
  </si>
  <si>
    <t>Graham Petersen - Ipswich</t>
  </si>
  <si>
    <t>Nadia Kowalski - Elizabeth</t>
  </si>
  <si>
    <t>Peter Loukas - Belconnen</t>
  </si>
  <si>
    <t>Wendy Sargent - Liverpool</t>
  </si>
  <si>
    <t>Ian Faulkner - Dandenong</t>
  </si>
  <si>
    <t>Rosemary Tran - Logan</t>
  </si>
  <si>
    <t>Barry Nicholson - Campbelltown</t>
  </si>
  <si>
    <t>Fiona Reardon - Gungahlin</t>
  </si>
  <si>
    <t>Orders Taken or Given Back</t>
  </si>
  <si>
    <t>Denise Marlow - Hornsby</t>
  </si>
  <si>
    <t>Trevor Bianchi - Werribee</t>
  </si>
  <si>
    <t>Yvette Sorensen - Salisbury</t>
  </si>
  <si>
    <t>Malcolm Chege - Redbank</t>
  </si>
  <si>
    <t>Anthea Rowlands - Weston</t>
  </si>
  <si>
    <t>Owen Kavanagh - Fairfield</t>
  </si>
  <si>
    <t>Priya Deshpande - Sunshine</t>
  </si>
  <si>
    <t>Clive Bannister - Beenleigh</t>
  </si>
  <si>
    <t>Josephine Radich - Modbury</t>
  </si>
  <si>
    <t>Marcus Delaney - Kambah</t>
  </si>
  <si>
    <t>DetectedDate</t>
  </si>
  <si>
    <t>Internal Record #</t>
  </si>
  <si>
    <t>FirstName</t>
  </si>
  <si>
    <t>LastName</t>
  </si>
  <si>
    <t>IsActive</t>
  </si>
  <si>
    <t>DateOfBirth</t>
  </si>
  <si>
    <t>ClientTypes</t>
  </si>
  <si>
    <t>PrimaryPhone</t>
  </si>
  <si>
    <t>Email</t>
  </si>
  <si>
    <t>Address</t>
  </si>
  <si>
    <t>ServiceExitDate</t>
  </si>
  <si>
    <t>ServiceExitReason</t>
  </si>
  <si>
    <t>Groups</t>
  </si>
  <si>
    <t>Trevor</t>
  </si>
  <si>
    <t>Simmons</t>
  </si>
  <si>
    <t>Ongoing</t>
  </si>
  <si>
    <t>0424 887 331</t>
  </si>
  <si>
    <t>t.simmons@example.com.au</t>
  </si>
  <si>
    <t>10 Eucalypt Rd, Brisbane QLD</t>
  </si>
  <si>
    <t>Order Taken Back - Discharged</t>
  </si>
  <si>
    <t>Noeleen</t>
  </si>
  <si>
    <t>Baxter</t>
  </si>
  <si>
    <t>0478 552 664</t>
  </si>
  <si>
    <t>n.baxter@example.com.au</t>
  </si>
  <si>
    <t>22 Waratah Cres, Shepparton VIC</t>
  </si>
  <si>
    <t>Churn - No Longer Required Service</t>
  </si>
  <si>
    <t>Raymond</t>
  </si>
  <si>
    <t>Hughes</t>
  </si>
  <si>
    <t>0466 331 209</t>
  </si>
  <si>
    <t>r.hughes@example.com.au</t>
  </si>
  <si>
    <t>39 Casuarina Way, Adelaide SA</t>
  </si>
  <si>
    <t>Churn - Deceased</t>
  </si>
  <si>
    <t>Shirley</t>
  </si>
  <si>
    <t>Adams</t>
  </si>
  <si>
    <t>New - Once Off</t>
  </si>
  <si>
    <t>0413 774 502</t>
  </si>
  <si>
    <t>s.adams@example.com.au</t>
  </si>
  <si>
    <t>5 Acacia Pl, Canberra ACT</t>
  </si>
  <si>
    <t>Order Taken Back - No reason provided</t>
  </si>
  <si>
    <t>Desmond</t>
  </si>
  <si>
    <t>Carter</t>
  </si>
  <si>
    <t>0499 213 887</t>
  </si>
  <si>
    <t>d.carter@example.com.au</t>
  </si>
  <si>
    <t>16 Melaleuca St, Newcastle NSW</t>
  </si>
  <si>
    <t>Churn - No reason provided</t>
  </si>
  <si>
    <t>Patricia</t>
  </si>
  <si>
    <t>Wallace</t>
  </si>
  <si>
    <t>0407 662 918</t>
  </si>
  <si>
    <t>p.wallace@example.com.au</t>
  </si>
  <si>
    <t>27 Bottlebrush Dr, Ballarat VIC</t>
  </si>
  <si>
    <t>Churn - Moved to inhouse</t>
  </si>
  <si>
    <t>Kenneth</t>
  </si>
  <si>
    <t>O'Brien</t>
  </si>
  <si>
    <t>0455 221 340</t>
  </si>
  <si>
    <t>k.obrien@example.com.au</t>
  </si>
  <si>
    <t>3 Grevillea Ave, Wollongong NSW</t>
  </si>
  <si>
    <t>Beryl</t>
  </si>
  <si>
    <t>Nguyen</t>
  </si>
  <si>
    <t>0421 998 112</t>
  </si>
  <si>
    <t>b.nguyen@example.com.au</t>
  </si>
  <si>
    <t>8 Hakea Ct, Toowoomba QLD</t>
  </si>
  <si>
    <t>Order Taken Back - Deceased</t>
  </si>
  <si>
    <t>Harold</t>
  </si>
  <si>
    <t>Fitzgerald</t>
  </si>
  <si>
    <t>0433 556 789</t>
  </si>
  <si>
    <t>h.fitzgerald@example.com.au</t>
  </si>
  <si>
    <t>45 Banksia Rd, Geelong VIC</t>
  </si>
  <si>
    <t>Margaret</t>
  </si>
  <si>
    <t>Thompson</t>
  </si>
  <si>
    <t>0412 334 221</t>
  </si>
  <si>
    <t>m.thompson@example.com.au</t>
  </si>
  <si>
    <t>12 Wattle St, Parramatta NSW</t>
  </si>
  <si>
    <t>26/08/2026</t>
  </si>
  <si>
    <t>DUMMY ACCOUNT TEST - 2</t>
  </si>
  <si>
    <t>By Sarah</t>
  </si>
  <si>
    <t>Active</t>
  </si>
  <si>
    <t xml:space="preserve">    </t>
  </si>
  <si>
    <t>Home Aged Care Services, TEST By Sarah Alliance Group</t>
  </si>
  <si>
    <t>Service On Hold</t>
  </si>
  <si>
    <t>Rita Chalmers - Blacktown</t>
  </si>
  <si>
    <t>Bruce McAllister - Geelong</t>
  </si>
  <si>
    <t>Helena Papadopoulos - Prospect</t>
  </si>
  <si>
    <t>Vince Okafor - Springfield</t>
  </si>
  <si>
    <t>Cheryl Marsh - Tuggeranong</t>
  </si>
  <si>
    <t>Douglas Fenwick - Ryde</t>
  </si>
  <si>
    <t>Simone Castellano - St Kilda</t>
  </si>
  <si>
    <t>Errol Bamford - Caboolture</t>
  </si>
  <si>
    <t>Adele Fairweather - Hurstville</t>
  </si>
  <si>
    <t>Nigel Ashcroft - Kaleen</t>
  </si>
  <si>
    <t>Client / funder targets — "New Service &amp; Resume Requests"</t>
  </si>
  <si>
    <t>"Already Received" is a live formula counting rows in Data, matched on both client and category. "Targeted" and "Forecast" are business inputs (blue text) set by account management — edit these directly when goals change. Additional category blocks (Churn, Orders Taken or Given Back) are appended below using the same pattern — copy a block and relabel it to add a future service category.</t>
  </si>
  <si>
    <t>Client / Funder</t>
  </si>
  <si>
    <t>Targeted (Account-Based)</t>
  </si>
  <si>
    <t>Forecast</t>
  </si>
  <si>
    <t>Gap to Forecast</t>
  </si>
  <si>
    <t>% of Target Achieved</t>
  </si>
  <si>
    <t>Clarify (Targeted and Forecast)</t>
  </si>
  <si>
    <t>Other / Not Yet in Target List</t>
  </si>
  <si>
    <t>New Service &amp; Resume Requests Total</t>
  </si>
  <si>
    <t>Churn Total</t>
  </si>
  <si>
    <t>Orders Taken or Given Back Total</t>
  </si>
  <si>
    <t>Placed &amp; Scheduled Orders Total</t>
  </si>
  <si>
    <t>Service On Hold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</si>
</sst>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0000"/>
    <numFmt numFmtId="166" formatCode="\$#,##0"/>
    <numFmt numFmtId="167" formatCode="dd/mm/yyyy"/>
  </numFmts>
  <fonts count="19">
    <font>
      <sz val="11"/>
      <color theme="1"/>
      <name val="Calibri"/>
      <family val="2"/>
      <charset val="1"/>
    </font>
    <font>
      <b/>
      <sz val="18"/>
      <color rgb="FFFFFFFF"/>
      <name val="Arial"/>
      <charset val="1"/>
    </font>
    <font>
      <b/>
      <sz val="10"/>
      <name val="Arial"/>
      <charset val="1"/>
    </font>
    <font>
      <sz val="10"/>
      <name val="Arial"/>
      <charset val="1"/>
    </font>
    <font>
      <b/>
      <sz val="11"/>
      <color rgb="FF1F3864"/>
      <name val="Arial"/>
      <charset val="1"/>
    </font>
    <font>
      <b/>
      <sz val="9"/>
      <color rgb="FF085041"/>
      <name val="Arial"/>
      <charset val="1"/>
    </font>
    <font>
      <b/>
      <sz val="13"/>
      <color rgb="FF04342C"/>
      <name val="Arial"/>
      <charset val="1"/>
    </font>
    <font>
      <sz val="11"/>
      <name val="Calibri"/>
      <charset val="1"/>
    </font>
    <font>
      <b/>
      <sz val="10"/>
      <color rgb="FFFFFFFF"/>
      <name val="Arial"/>
      <charset val="1"/>
    </font>
    <font>
      <b/>
      <sz val="11"/>
      <name val="Arial"/>
      <charset val="1"/>
    </font>
    <font>
      <i/>
      <sz val="9"/>
      <color rgb="FF808080"/>
      <name val="Arial"/>
      <charset val="1"/>
    </font>
    <font>
      <b/>
      <i/>
      <sz val="10"/>
      <color rgb="FF808080"/>
      <name val="Arial"/>
      <charset val="1"/>
    </font>
    <font>
      <b/>
      <sz val="11"/>
      <color rgb="FFFFFFFF"/>
      <name val="Arial"/>
      <charset val="1"/>
    </font>
    <font>
      <sz val="10"/>
      <name val="Arial"/>
      <family val="2"/>
    </font>
    <font>
      <sz val="10"/>
      <color rgb="FF0000FF"/>
      <name val="Arial"/>
      <charset val="1"/>
    </font>
    <font>
      <i/>
      <sz val="10"/>
      <name val="Arial"/>
      <charset val="1"/>
    </font>
    <font>
      <b/>
      <sz val="11"/>
      <color theme="0"/>
      <name val="Arial"/>
      <family val="2"/>
    </font>
    <font>
      <sz val="11"/>
      <color theme="0"/>
      <name val="Calibri"/>
      <family val="2"/>
      <charset val="1"/>
    </font>
    <font>
      <b/>
      <sz val="10"/>
      <color theme="0"/>
      <name val="Arial"/>
      <family val="2"/>
    </font>
  </fonts>
  <fills count="12">
    <fill>
      <patternFill patternType="none"/>
    </fill>
    <fill>
      <patternFill patternType="gray125"/>
    </fill>
    <fill>
      <patternFill patternType="solid">
        <fgColor rgb="FF1F3864"/>
        <bgColor rgb="FF17375E"/>
      </patternFill>
    </fill>
    <fill>
      <patternFill patternType="solid">
        <fgColor theme="3" tint="-0.249977111117893"/>
        <bgColor rgb="FF1F3864"/>
      </patternFill>
    </fill>
    <fill>
      <patternFill patternType="solid">
        <fgColor rgb="FFFFFF00"/>
        <bgColor rgb="FFFFFF00"/>
      </patternFill>
    </fill>
    <fill>
      <patternFill patternType="solid">
        <fgColor rgb="FFE1F5EE"/>
        <bgColor rgb="FFF2F2F2"/>
      </patternFill>
    </fill>
    <fill>
      <patternFill patternType="solid">
        <fgColor rgb="FFED7D31"/>
        <bgColor rgb="FFFF9900"/>
      </patternFill>
    </fill>
    <fill>
      <patternFill patternType="solid">
        <fgColor rgb="FF4472C4"/>
        <bgColor rgb="FF4F81BD"/>
      </patternFill>
    </fill>
    <fill>
      <patternFill patternType="solid">
        <fgColor rgb="FFFFF2CC"/>
        <bgColor rgb="FFF2F2F2"/>
      </patternFill>
    </fill>
    <fill>
      <patternFill patternType="solid">
        <fgColor rgb="FFD9E2F3"/>
        <bgColor rgb="FFD9E1F2"/>
      </patternFill>
    </fill>
    <fill>
      <patternFill patternType="solid">
        <fgColor rgb="FFD9E1F2"/>
        <bgColor rgb="FFD9E2F3"/>
      </patternFill>
    </fill>
    <fill>
      <patternFill patternType="solid">
        <fgColor theme="3" tint="-0.24997711111789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0" fillId="3" borderId="0" xfId="0" applyFill="1"/>
    <xf numFmtId="20" fontId="0" fillId="0" borderId="0" xfId="0" applyNumberFormat="1"/>
    <xf numFmtId="0" fontId="2" fillId="4" borderId="0" xfId="0" applyFont="1" applyFill="1" applyAlignment="1">
      <alignment horizontal="left"/>
    </xf>
    <xf numFmtId="0" fontId="3" fillId="0" borderId="0" xfId="0" applyFont="1"/>
    <xf numFmtId="20" fontId="4" fillId="0" borderId="0" xfId="0" applyNumberFormat="1" applyFont="1"/>
    <xf numFmtId="0" fontId="7" fillId="0" borderId="0" xfId="0" applyFont="1"/>
    <xf numFmtId="0" fontId="4" fillId="0" borderId="0" xfId="0" applyFont="1"/>
    <xf numFmtId="0" fontId="7" fillId="0" borderId="0" xfId="0" applyFont="1" applyAlignment="1">
      <alignment horizontal="center"/>
    </xf>
    <xf numFmtId="0" fontId="8" fillId="6" borderId="0" xfId="0" applyFont="1" applyFill="1" applyAlignment="1">
      <alignment horizontal="center" vertical="center" wrapText="1"/>
    </xf>
    <xf numFmtId="0" fontId="3" fillId="0" borderId="1" xfId="0" applyFont="1" applyBorder="1" applyAlignment="1">
      <alignment horizontal="left"/>
    </xf>
    <xf numFmtId="0" fontId="3" fillId="0" borderId="1" xfId="0" applyFont="1" applyBorder="1" applyAlignment="1">
      <alignment horizontal="center"/>
    </xf>
    <xf numFmtId="164" fontId="3" fillId="0" borderId="1" xfId="0" applyNumberFormat="1" applyFont="1" applyBorder="1"/>
    <xf numFmtId="0" fontId="2" fillId="0" borderId="0" xfId="0" applyFont="1"/>
    <xf numFmtId="0" fontId="10" fillId="0" borderId="0" xfId="0" applyFont="1"/>
    <xf numFmtId="0" fontId="8" fillId="2" borderId="0" xfId="0" applyFont="1" applyFill="1"/>
    <xf numFmtId="164" fontId="3" fillId="0" borderId="0" xfId="0" applyNumberFormat="1" applyFont="1"/>
    <xf numFmtId="165" fontId="3" fillId="0" borderId="0" xfId="0" applyNumberFormat="1" applyFont="1"/>
    <xf numFmtId="0" fontId="8" fillId="7" borderId="0" xfId="0" applyFont="1" applyFill="1"/>
    <xf numFmtId="0" fontId="3" fillId="0" borderId="1" xfId="0" applyFont="1" applyBorder="1"/>
    <xf numFmtId="166" fontId="3" fillId="0" borderId="1" xfId="0" applyNumberFormat="1" applyFont="1" applyBorder="1"/>
    <xf numFmtId="0" fontId="8" fillId="7" borderId="0" xfId="0" applyFont="1" applyFill="1" applyAlignment="1">
      <alignment horizontal="center" vertical="center" wrapText="1"/>
    </xf>
    <xf numFmtId="166" fontId="3" fillId="0" borderId="1" xfId="0" applyNumberFormat="1" applyFont="1" applyBorder="1" applyAlignment="1">
      <alignment horizontal="center"/>
    </xf>
    <xf numFmtId="0" fontId="12" fillId="2" borderId="0" xfId="0" applyFont="1" applyFill="1" applyAlignment="1">
      <alignment horizontal="center" vertical="center" wrapText="1"/>
    </xf>
    <xf numFmtId="0" fontId="12" fillId="2" borderId="0" xfId="0" applyFont="1" applyFill="1"/>
    <xf numFmtId="164" fontId="3" fillId="0" borderId="1" xfId="0" applyNumberFormat="1" applyFont="1" applyBorder="1" applyAlignment="1">
      <alignment horizontal="center"/>
    </xf>
    <xf numFmtId="167" fontId="0" fillId="0" borderId="0" xfId="0" applyNumberFormat="1"/>
    <xf numFmtId="167" fontId="3" fillId="0" borderId="1" xfId="0" applyNumberFormat="1" applyFont="1" applyBorder="1" applyAlignment="1">
      <alignment horizontal="center"/>
    </xf>
    <xf numFmtId="0" fontId="14" fillId="0" borderId="1" xfId="0" applyFont="1" applyBorder="1" applyAlignment="1">
      <alignment horizontal="center"/>
    </xf>
    <xf numFmtId="9" fontId="3" fillId="0" borderId="1" xfId="0" applyNumberFormat="1" applyFont="1" applyBorder="1" applyAlignment="1">
      <alignment horizontal="center"/>
    </xf>
    <xf numFmtId="0" fontId="15" fillId="8" borderId="1" xfId="0" applyFont="1" applyFill="1" applyBorder="1"/>
    <xf numFmtId="0" fontId="15" fillId="8" borderId="1" xfId="0" applyFont="1" applyFill="1" applyBorder="1" applyAlignment="1">
      <alignment horizontal="center"/>
    </xf>
    <xf numFmtId="9" fontId="15" fillId="8" borderId="1" xfId="0" applyNumberFormat="1" applyFont="1" applyFill="1" applyBorder="1" applyAlignment="1">
      <alignment horizontal="center"/>
    </xf>
    <xf numFmtId="0" fontId="2" fillId="9" borderId="1" xfId="0" applyFont="1" applyFill="1" applyBorder="1"/>
    <xf numFmtId="0" fontId="2" fillId="9" borderId="1" xfId="0" applyFont="1" applyFill="1" applyBorder="1" applyAlignment="1">
      <alignment horizontal="center"/>
    </xf>
    <xf numFmtId="9" fontId="2" fillId="9" borderId="1" xfId="0" applyNumberFormat="1" applyFont="1" applyFill="1" applyBorder="1" applyAlignment="1">
      <alignment horizontal="center"/>
    </xf>
    <xf numFmtId="0" fontId="9" fillId="10" borderId="0" xfId="0" applyFont="1" applyFill="1"/>
    <xf numFmtId="0" fontId="0" fillId="10" borderId="0" xfId="0" applyFill="1"/>
    <xf numFmtId="0" fontId="14" fillId="0" borderId="0" xfId="0" applyFont="1"/>
    <xf numFmtId="0" fontId="16" fillId="11" borderId="0" xfId="0" applyFont="1" applyFill="1"/>
    <xf numFmtId="0" fontId="17" fillId="11" borderId="0" xfId="0" applyFont="1" applyFill="1"/>
    <xf numFmtId="0" fontId="18" fillId="11" borderId="0" xfId="0" applyFont="1" applyFill="1"/>
    <xf numFmtId="0" fontId="1" fillId="2" borderId="0" xfId="0" applyFont="1" applyFill="1" applyAlignment="1">
      <alignment horizontal="center" vertical="center"/>
    </xf>
    <xf numFmtId="0" fontId="5" fillId="5" borderId="0" xfId="0" applyFont="1" applyFill="1" applyAlignment="1">
      <alignment horizontal="center" vertical="center"/>
    </xf>
    <xf numFmtId="0" fontId="6" fillId="5" borderId="0" xfId="0" applyFont="1" applyFill="1" applyAlignment="1">
      <alignment horizontal="center" vertical="center"/>
    </xf>
    <xf numFmtId="0" fontId="10" fillId="0" borderId="0" xfId="0" applyFont="1" applyAlignment="1">
      <alignment vertical="top" wrapText="1"/>
    </xf>
    <xf numFmtId="0" fontId="11"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B4744"/>
      <rgbColor rgb="FFFFF2CC"/>
      <rgbColor rgb="FFE1F5EE"/>
      <rgbColor rgb="FF660066"/>
      <rgbColor rgb="FFD09493"/>
      <rgbColor rgb="FF0066CC"/>
      <rgbColor rgb="FFD9D9D9"/>
      <rgbColor rgb="FF000080"/>
      <rgbColor rgb="FFFF00FF"/>
      <rgbColor rgb="FFFFFF00"/>
      <rgbColor rgb="FF00FFFF"/>
      <rgbColor rgb="FF800080"/>
      <rgbColor rgb="FF800000"/>
      <rgbColor rgb="FF008080"/>
      <rgbColor rgb="FF0000FF"/>
      <rgbColor rgb="FF00CCFF"/>
      <rgbColor rgb="FFF2F2F2"/>
      <rgbColor rgb="FFD9E2F3"/>
      <rgbColor rgb="FFF9F9F9"/>
      <rgbColor rgb="FFB3B3B3"/>
      <rgbColor rgb="FFFF99CC"/>
      <rgbColor rgb="FFCC99FF"/>
      <rgbColor rgb="FFD9E1F2"/>
      <rgbColor rgb="FF4472C4"/>
      <rgbColor rgb="FF33CCCC"/>
      <rgbColor rgb="FF99CC00"/>
      <rgbColor rgb="FFFFCC00"/>
      <rgbColor rgb="FFFF9900"/>
      <rgbColor rgb="FFED7D31"/>
      <rgbColor rgb="FF595959"/>
      <rgbColor rgb="FF878787"/>
      <rgbColor rgb="FF17375E"/>
      <rgbColor rgb="FF4F81BD"/>
      <rgbColor rgb="FF04342C"/>
      <rgbColor rgb="FF085041"/>
      <rgbColor rgb="FF993300"/>
      <rgbColor rgb="FF993366"/>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New Service &amp; Resume Requests by State</a:t>
            </a:r>
          </a:p>
        </c:rich>
      </c:tx>
      <c:overlay val="0"/>
      <c:spPr>
        <a:noFill/>
        <a:ln w="0">
          <a:noFill/>
        </a:ln>
      </c:spPr>
    </c:title>
    <c:autoTitleDeleted val="0"/>
    <c:plotArea>
      <c:layout/>
      <c:barChart>
        <c:barDir val="col"/>
        <c:grouping val="clustered"/>
        <c:varyColors val="0"/>
        <c:ser>
          <c:idx val="0"/>
          <c:order val="0"/>
          <c:tx>
            <c:strRef>
              <c:f>'Dashboard - EDIT'!$B$261</c:f>
              <c:strCache>
                <c:ptCount val="1"/>
                <c:pt idx="0">
                  <c:v>Requests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EDIT'!$A$262:$A$268</c:f>
              <c:strCache>
                <c:ptCount val="7"/>
                <c:pt idx="0">
                  <c:v>NSW</c:v>
                </c:pt>
                <c:pt idx="1">
                  <c:v>ACT</c:v>
                </c:pt>
                <c:pt idx="2">
                  <c:v>VIC</c:v>
                </c:pt>
                <c:pt idx="3">
                  <c:v>QLD</c:v>
                </c:pt>
                <c:pt idx="4">
                  <c:v>South Australia</c:v>
                </c:pt>
                <c:pt idx="5">
                  <c:v>Tasmania</c:v>
                </c:pt>
                <c:pt idx="6">
                  <c:v>Western Australia</c:v>
                </c:pt>
              </c:strCache>
            </c:strRef>
          </c:cat>
          <c:val>
            <c:numRef>
              <c:f>'Dashboard - EDIT'!$C$262:$C$268</c:f>
              <c:numCache>
                <c:formatCode>\$#,##0</c:formatCode>
                <c:ptCount val="7"/>
                <c:pt idx="0">
                  <c:v>6310.56</c:v>
                </c:pt>
                <c:pt idx="1">
                  <c:v>3232.2000000000007</c:v>
                </c:pt>
                <c:pt idx="2">
                  <c:v>3993.8000000000011</c:v>
                </c:pt>
                <c:pt idx="3">
                  <c:v>253.84</c:v>
                </c:pt>
                <c:pt idx="4">
                  <c:v>15515.969999999979</c:v>
                </c:pt>
                <c:pt idx="5">
                  <c:v>0</c:v>
                </c:pt>
                <c:pt idx="6">
                  <c:v>0</c:v>
                </c:pt>
              </c:numCache>
            </c:numRef>
          </c:val>
          <c:extLst>
            <c:ext xmlns:c16="http://schemas.microsoft.com/office/drawing/2014/chart" uri="{C3380CC4-5D6E-409C-BE32-E72D297353CC}">
              <c16:uniqueId val="{00000000-0D34-4ABD-98C9-860739945633}"/>
            </c:ext>
          </c:extLst>
        </c:ser>
        <c:dLbls>
          <c:showLegendKey val="0"/>
          <c:showVal val="0"/>
          <c:showCatName val="0"/>
          <c:showSerName val="0"/>
          <c:showPercent val="0"/>
          <c:showBubbleSize val="0"/>
        </c:dLbls>
        <c:gapWidth val="150"/>
        <c:axId val="83555013"/>
        <c:axId val="33986005"/>
      </c:barChart>
      <c:catAx>
        <c:axId val="83555013"/>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State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986005"/>
        <c:crosses val="autoZero"/>
        <c:auto val="1"/>
        <c:lblAlgn val="ctr"/>
        <c:lblOffset val="100"/>
        <c:noMultiLvlLbl val="0"/>
      </c:catAx>
      <c:valAx>
        <c:axId val="33986005"/>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555013"/>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Placed &amp; Scheduled Orders</a:t>
            </a:r>
          </a:p>
        </c:rich>
      </c:tx>
      <c:overlay val="0"/>
      <c:spPr>
        <a:noFill/>
        <a:ln w="0">
          <a:noFill/>
        </a:ln>
      </c:spPr>
    </c:title>
    <c:autoTitleDeleted val="0"/>
    <c:plotArea>
      <c:layout/>
      <c:barChart>
        <c:barDir val="col"/>
        <c:grouping val="clustered"/>
        <c:varyColors val="0"/>
        <c:ser>
          <c:idx val="0"/>
          <c:order val="0"/>
          <c:tx>
            <c:strRef>
              <c:f>'PLACED &amp; SCHEDULED ORDERS'!$E$1</c:f>
              <c:strCache>
                <c:ptCount val="1"/>
                <c:pt idx="0">
                  <c:v>Value</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EDIT'!$A$205:$A$209</c:f>
              <c:strCache>
                <c:ptCount val="5"/>
                <c:pt idx="0">
                  <c:v>Australian Unity</c:v>
                </c:pt>
                <c:pt idx="1">
                  <c:v>Calvary Syd</c:v>
                </c:pt>
                <c:pt idx="2">
                  <c:v>GEN U</c:v>
                </c:pt>
                <c:pt idx="3">
                  <c:v>Bolton Clarke</c:v>
                </c:pt>
                <c:pt idx="4">
                  <c:v>Silverchain NSW</c:v>
                </c:pt>
              </c:strCache>
            </c:strRef>
          </c:cat>
          <c:val>
            <c:numRef>
              <c:f>'Dashboard - EDIT'!$B$205:$B$209</c:f>
              <c:numCache>
                <c:formatCode>\$#,##0.00</c:formatCode>
                <c:ptCount val="5"/>
                <c:pt idx="0">
                  <c:v>380.76</c:v>
                </c:pt>
                <c:pt idx="1">
                  <c:v>253.84</c:v>
                </c:pt>
                <c:pt idx="2">
                  <c:v>253.84</c:v>
                </c:pt>
                <c:pt idx="3">
                  <c:v>253.84</c:v>
                </c:pt>
                <c:pt idx="4">
                  <c:v>253.84</c:v>
                </c:pt>
              </c:numCache>
            </c:numRef>
          </c:val>
          <c:extLst>
            <c:ext xmlns:c16="http://schemas.microsoft.com/office/drawing/2014/chart" uri="{C3380CC4-5D6E-409C-BE32-E72D297353CC}">
              <c16:uniqueId val="{00000000-F1AC-4226-9803-E72532A59BD3}"/>
            </c:ext>
          </c:extLst>
        </c:ser>
        <c:dLbls>
          <c:showLegendKey val="0"/>
          <c:showVal val="0"/>
          <c:showCatName val="0"/>
          <c:showSerName val="0"/>
          <c:showPercent val="0"/>
          <c:showBubbleSize val="0"/>
        </c:dLbls>
        <c:gapWidth val="150"/>
        <c:axId val="48041690"/>
        <c:axId val="36386756"/>
      </c:barChart>
      <c:catAx>
        <c:axId val="4804169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386756"/>
        <c:crosses val="autoZero"/>
        <c:auto val="1"/>
        <c:lblAlgn val="ctr"/>
        <c:lblOffset val="100"/>
        <c:noMultiLvlLbl val="0"/>
      </c:catAx>
      <c:valAx>
        <c:axId val="36386756"/>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041690"/>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Orders Taken or Given Back</a:t>
            </a:r>
          </a:p>
        </c:rich>
      </c:tx>
      <c:overlay val="0"/>
      <c:spPr>
        <a:noFill/>
        <a:ln w="0">
          <a:noFill/>
        </a:ln>
      </c:spPr>
    </c:title>
    <c:autoTitleDeleted val="0"/>
    <c:plotArea>
      <c:layout/>
      <c:barChart>
        <c:barDir val="col"/>
        <c:grouping val="clustered"/>
        <c:varyColors val="0"/>
        <c:ser>
          <c:idx val="0"/>
          <c:order val="0"/>
          <c:tx>
            <c:strRef>
              <c:f>'ORDERS TAKEN OR GIVEN BACK'!$E$1</c:f>
              <c:strCache>
                <c:ptCount val="1"/>
                <c:pt idx="0">
                  <c:v>Value</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EDIT'!$A$214:$A$218</c:f>
              <c:strCache>
                <c:ptCount val="5"/>
                <c:pt idx="0">
                  <c:v>Goodwin</c:v>
                </c:pt>
                <c:pt idx="1">
                  <c:v>GEN U</c:v>
                </c:pt>
                <c:pt idx="2">
                  <c:v>Silverchain ACT</c:v>
                </c:pt>
                <c:pt idx="3">
                  <c:v>Calvary Melb</c:v>
                </c:pt>
                <c:pt idx="4">
                  <c:v>Calvary South Australia</c:v>
                </c:pt>
              </c:strCache>
            </c:strRef>
          </c:cat>
          <c:val>
            <c:numRef>
              <c:f>'Dashboard - EDIT'!$B$214:$B$218</c:f>
              <c:numCache>
                <c:formatCode>\$#,##0.00</c:formatCode>
                <c:ptCount val="5"/>
                <c:pt idx="0">
                  <c:v>253.84</c:v>
                </c:pt>
                <c:pt idx="1">
                  <c:v>253.84</c:v>
                </c:pt>
                <c:pt idx="2">
                  <c:v>253.84</c:v>
                </c:pt>
                <c:pt idx="3">
                  <c:v>253.84</c:v>
                </c:pt>
                <c:pt idx="4">
                  <c:v>190.38</c:v>
                </c:pt>
              </c:numCache>
            </c:numRef>
          </c:val>
          <c:extLst>
            <c:ext xmlns:c16="http://schemas.microsoft.com/office/drawing/2014/chart" uri="{C3380CC4-5D6E-409C-BE32-E72D297353CC}">
              <c16:uniqueId val="{00000000-7CF7-4723-B1E4-B4B55E7EFCD5}"/>
            </c:ext>
          </c:extLst>
        </c:ser>
        <c:dLbls>
          <c:showLegendKey val="0"/>
          <c:showVal val="0"/>
          <c:showCatName val="0"/>
          <c:showSerName val="0"/>
          <c:showPercent val="0"/>
          <c:showBubbleSize val="0"/>
        </c:dLbls>
        <c:gapWidth val="150"/>
        <c:axId val="38985388"/>
        <c:axId val="19506664"/>
      </c:barChart>
      <c:catAx>
        <c:axId val="3898538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9506664"/>
        <c:crosses val="autoZero"/>
        <c:auto val="1"/>
        <c:lblAlgn val="ctr"/>
        <c:lblOffset val="100"/>
        <c:noMultiLvlLbl val="0"/>
      </c:catAx>
      <c:valAx>
        <c:axId val="19506664"/>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8985388"/>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Service On Hold</a:t>
            </a:r>
          </a:p>
        </c:rich>
      </c:tx>
      <c:overlay val="0"/>
      <c:spPr>
        <a:noFill/>
        <a:ln w="0">
          <a:noFill/>
        </a:ln>
      </c:spPr>
    </c:title>
    <c:autoTitleDeleted val="0"/>
    <c:plotArea>
      <c:layout/>
      <c:barChart>
        <c:barDir val="col"/>
        <c:grouping val="clustered"/>
        <c:varyColors val="0"/>
        <c:ser>
          <c:idx val="0"/>
          <c:order val="0"/>
          <c:tx>
            <c:strRef>
              <c:f>'SERVICE ON HOLD'!$E$1</c:f>
              <c:strCache>
                <c:ptCount val="1"/>
                <c:pt idx="0">
                  <c:v>Value</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EDIT'!$A$223:$A$227</c:f>
              <c:strCache>
                <c:ptCount val="5"/>
                <c:pt idx="0">
                  <c:v>GEN U</c:v>
                </c:pt>
                <c:pt idx="1">
                  <c:v>Silverchain ACT</c:v>
                </c:pt>
                <c:pt idx="2">
                  <c:v>Calvary Melb</c:v>
                </c:pt>
                <c:pt idx="3">
                  <c:v>Goodwin</c:v>
                </c:pt>
                <c:pt idx="4">
                  <c:v>Calvary Syd</c:v>
                </c:pt>
              </c:strCache>
            </c:strRef>
          </c:cat>
          <c:val>
            <c:numRef>
              <c:f>'Dashboard - EDIT'!$B$223:$B$227</c:f>
              <c:numCache>
                <c:formatCode>\$#,##0.00</c:formatCode>
                <c:ptCount val="5"/>
                <c:pt idx="0">
                  <c:v>253.84</c:v>
                </c:pt>
                <c:pt idx="1">
                  <c:v>253.84</c:v>
                </c:pt>
                <c:pt idx="2">
                  <c:v>253.84</c:v>
                </c:pt>
                <c:pt idx="3">
                  <c:v>190.38</c:v>
                </c:pt>
                <c:pt idx="4">
                  <c:v>190.38</c:v>
                </c:pt>
              </c:numCache>
            </c:numRef>
          </c:val>
          <c:extLst>
            <c:ext xmlns:c16="http://schemas.microsoft.com/office/drawing/2014/chart" uri="{C3380CC4-5D6E-409C-BE32-E72D297353CC}">
              <c16:uniqueId val="{00000000-0448-4EE2-9FF2-7C8F1DE729B0}"/>
            </c:ext>
          </c:extLst>
        </c:ser>
        <c:dLbls>
          <c:showLegendKey val="0"/>
          <c:showVal val="0"/>
          <c:showCatName val="0"/>
          <c:showSerName val="0"/>
          <c:showPercent val="0"/>
          <c:showBubbleSize val="0"/>
        </c:dLbls>
        <c:gapWidth val="150"/>
        <c:axId val="75941725"/>
        <c:axId val="71224934"/>
      </c:barChart>
      <c:catAx>
        <c:axId val="7594172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1224934"/>
        <c:crosses val="autoZero"/>
        <c:auto val="1"/>
        <c:lblAlgn val="ctr"/>
        <c:lblOffset val="100"/>
        <c:noMultiLvlLbl val="0"/>
      </c:catAx>
      <c:valAx>
        <c:axId val="71224934"/>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5941725"/>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New Service &amp; Resume Requests </a:t>
            </a:r>
          </a:p>
        </c:rich>
      </c:tx>
      <c:overlay val="0"/>
      <c:spPr>
        <a:noFill/>
        <a:ln w="0">
          <a:noFill/>
        </a:ln>
      </c:spPr>
    </c:title>
    <c:autoTitleDeleted val="0"/>
    <c:plotArea>
      <c:layout/>
      <c:barChart>
        <c:barDir val="col"/>
        <c:grouping val="clustered"/>
        <c:varyColors val="0"/>
        <c:ser>
          <c:idx val="0"/>
          <c:order val="0"/>
          <c:tx>
            <c:v>Value</c:v>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EDIT'!$A$196:$A$200</c:f>
              <c:strCache>
                <c:ptCount val="5"/>
                <c:pt idx="0">
                  <c:v>Silverchain SA</c:v>
                </c:pt>
                <c:pt idx="1">
                  <c:v>Silverchain NSW</c:v>
                </c:pt>
                <c:pt idx="2">
                  <c:v>Silverchain ACT</c:v>
                </c:pt>
                <c:pt idx="3">
                  <c:v>Australian Unity</c:v>
                </c:pt>
                <c:pt idx="4">
                  <c:v>Home CarIng</c:v>
                </c:pt>
              </c:strCache>
            </c:strRef>
          </c:cat>
          <c:val>
            <c:numRef>
              <c:f>'Dashboard - EDIT'!$B$196:$B$200</c:f>
              <c:numCache>
                <c:formatCode>\$#,##0.00</c:formatCode>
                <c:ptCount val="5"/>
                <c:pt idx="0">
                  <c:v>14627.529999999979</c:v>
                </c:pt>
                <c:pt idx="1">
                  <c:v>3712.4100000000008</c:v>
                </c:pt>
                <c:pt idx="2">
                  <c:v>2719.5800000000004</c:v>
                </c:pt>
                <c:pt idx="3">
                  <c:v>2030.72</c:v>
                </c:pt>
                <c:pt idx="4">
                  <c:v>1318.6</c:v>
                </c:pt>
              </c:numCache>
            </c:numRef>
          </c:val>
          <c:extLst>
            <c:ext xmlns:c16="http://schemas.microsoft.com/office/drawing/2014/chart" uri="{C3380CC4-5D6E-409C-BE32-E72D297353CC}">
              <c16:uniqueId val="{00000000-09B5-42A9-A5FC-64732C9C8E31}"/>
            </c:ext>
          </c:extLst>
        </c:ser>
        <c:dLbls>
          <c:showLegendKey val="0"/>
          <c:showVal val="0"/>
          <c:showCatName val="0"/>
          <c:showSerName val="0"/>
          <c:showPercent val="0"/>
          <c:showBubbleSize val="0"/>
        </c:dLbls>
        <c:gapWidth val="150"/>
        <c:axId val="63493664"/>
        <c:axId val="48046329"/>
      </c:barChart>
      <c:catAx>
        <c:axId val="6349366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046329"/>
        <c:crosses val="autoZero"/>
        <c:auto val="1"/>
        <c:lblAlgn val="ctr"/>
        <c:lblOffset val="100"/>
        <c:noMultiLvlLbl val="0"/>
      </c:catAx>
      <c:valAx>
        <c:axId val="48046329"/>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00" sourceLinked="0"/>
        <c:majorTickMark val="none"/>
        <c:minorTickMark val="none"/>
        <c:tickLblPos val="nextTo"/>
        <c:spPr>
          <a:ln w="0">
            <a:solidFill>
              <a:srgbClr val="000000"/>
            </a:solidFill>
          </a:ln>
        </c:spPr>
        <c:txPr>
          <a:bodyPr/>
          <a:lstStyle/>
          <a:p>
            <a:pPr>
              <a:defRPr sz="1000" b="0" strike="noStrike" spc="-1">
                <a:solidFill>
                  <a:srgbClr val="000000"/>
                </a:solidFill>
                <a:latin typeface="Calibri"/>
              </a:defRPr>
            </a:pPr>
            <a:endParaRPr lang="en-US"/>
          </a:p>
        </c:txPr>
        <c:crossAx val="63493664"/>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Placed &amp; Scheduled Orders by State</a:t>
            </a:r>
          </a:p>
        </c:rich>
      </c:tx>
      <c:overlay val="0"/>
      <c:spPr>
        <a:noFill/>
        <a:ln w="0">
          <a:noFill/>
        </a:ln>
      </c:spPr>
    </c:title>
    <c:autoTitleDeleted val="0"/>
    <c:plotArea>
      <c:layout/>
      <c:barChart>
        <c:barDir val="col"/>
        <c:grouping val="clustered"/>
        <c:varyColors val="0"/>
        <c:ser>
          <c:idx val="0"/>
          <c:order val="0"/>
          <c:tx>
            <c:strRef>
              <c:f>'Dashboard - EDIT'!$B$231</c:f>
              <c:strCache>
                <c:ptCount val="1"/>
                <c:pt idx="0">
                  <c:v>Requests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EDIT'!$A$232:$A$238</c:f>
              <c:strCache>
                <c:ptCount val="7"/>
                <c:pt idx="0">
                  <c:v>NSW</c:v>
                </c:pt>
                <c:pt idx="1">
                  <c:v>ACT</c:v>
                </c:pt>
                <c:pt idx="2">
                  <c:v>VIC</c:v>
                </c:pt>
                <c:pt idx="3">
                  <c:v>QLD</c:v>
                </c:pt>
                <c:pt idx="4">
                  <c:v>South Australia</c:v>
                </c:pt>
                <c:pt idx="5">
                  <c:v>Tasmania</c:v>
                </c:pt>
                <c:pt idx="6">
                  <c:v>Western Australia</c:v>
                </c:pt>
              </c:strCache>
            </c:strRef>
          </c:cat>
          <c:val>
            <c:numRef>
              <c:f>'Dashboard - EDIT'!$C$232:$C$238</c:f>
              <c:numCache>
                <c:formatCode>\$#,##0</c:formatCode>
                <c:ptCount val="7"/>
                <c:pt idx="0">
                  <c:v>888.44</c:v>
                </c:pt>
                <c:pt idx="1">
                  <c:v>317.3</c:v>
                </c:pt>
                <c:pt idx="2">
                  <c:v>444.22</c:v>
                </c:pt>
                <c:pt idx="3">
                  <c:v>444.22</c:v>
                </c:pt>
                <c:pt idx="4">
                  <c:v>190.38</c:v>
                </c:pt>
                <c:pt idx="5">
                  <c:v>0</c:v>
                </c:pt>
                <c:pt idx="6">
                  <c:v>0</c:v>
                </c:pt>
              </c:numCache>
            </c:numRef>
          </c:val>
          <c:extLst>
            <c:ext xmlns:c16="http://schemas.microsoft.com/office/drawing/2014/chart" uri="{C3380CC4-5D6E-409C-BE32-E72D297353CC}">
              <c16:uniqueId val="{00000000-F3E2-4BF8-BDF2-AEED9B40BE1B}"/>
            </c:ext>
          </c:extLst>
        </c:ser>
        <c:dLbls>
          <c:showLegendKey val="0"/>
          <c:showVal val="0"/>
          <c:showCatName val="0"/>
          <c:showSerName val="0"/>
          <c:showPercent val="0"/>
          <c:showBubbleSize val="0"/>
        </c:dLbls>
        <c:gapWidth val="150"/>
        <c:axId val="25289487"/>
        <c:axId val="17100493"/>
      </c:barChart>
      <c:catAx>
        <c:axId val="25289487"/>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State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7100493"/>
        <c:crosses val="autoZero"/>
        <c:auto val="1"/>
        <c:lblAlgn val="ctr"/>
        <c:lblOffset val="100"/>
        <c:noMultiLvlLbl val="0"/>
      </c:catAx>
      <c:valAx>
        <c:axId val="17100493"/>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5289487"/>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Top Clients — Requests Received vs Target</a:t>
            </a:r>
          </a:p>
        </c:rich>
      </c:tx>
      <c:overlay val="0"/>
      <c:spPr>
        <a:noFill/>
        <a:ln w="0">
          <a:noFill/>
        </a:ln>
      </c:spPr>
    </c:title>
    <c:autoTitleDeleted val="0"/>
    <c:plotArea>
      <c:layout/>
      <c:barChart>
        <c:barDir val="bar"/>
        <c:grouping val="clustered"/>
        <c:varyColors val="0"/>
        <c:ser>
          <c:idx val="0"/>
          <c:order val="0"/>
          <c:tx>
            <c:strRef>
              <c:f>'Dashboard - EDIT'!$B$72</c:f>
              <c:strCache>
                <c:ptCount val="1"/>
                <c:pt idx="0">
                  <c:v>Already Received</c:v>
                </c:pt>
              </c:strCache>
            </c:strRef>
          </c:tx>
          <c:spPr>
            <a:solidFill>
              <a:srgbClr val="AB4744"/>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EDIT'!$A$73:$A$82</c:f>
              <c:strCache>
                <c:ptCount val="10"/>
                <c:pt idx="0">
                  <c:v>Resi</c:v>
                </c:pt>
                <c:pt idx="1">
                  <c:v>Silverchain VIC</c:v>
                </c:pt>
                <c:pt idx="2">
                  <c:v>Silverchain NSW</c:v>
                </c:pt>
                <c:pt idx="3">
                  <c:v>Silverchain QLD</c:v>
                </c:pt>
                <c:pt idx="4">
                  <c:v>Silverchain SA</c:v>
                </c:pt>
                <c:pt idx="5">
                  <c:v>Silverchain TAS</c:v>
                </c:pt>
                <c:pt idx="6">
                  <c:v>Silverchain ACT</c:v>
                </c:pt>
                <c:pt idx="7">
                  <c:v>Blue Cross</c:v>
                </c:pt>
                <c:pt idx="8">
                  <c:v>Baptist Inner West/East</c:v>
                </c:pt>
                <c:pt idx="9">
                  <c:v>Baptist Western</c:v>
                </c:pt>
              </c:strCache>
            </c:strRef>
          </c:cat>
          <c:val>
            <c:numRef>
              <c:f>'Dashboard - EDIT'!$B$73:$B$82</c:f>
              <c:numCache>
                <c:formatCode>General</c:formatCode>
                <c:ptCount val="10"/>
                <c:pt idx="0">
                  <c:v>0</c:v>
                </c:pt>
                <c:pt idx="1">
                  <c:v>4</c:v>
                </c:pt>
                <c:pt idx="2">
                  <c:v>17</c:v>
                </c:pt>
                <c:pt idx="3">
                  <c:v>0</c:v>
                </c:pt>
                <c:pt idx="4">
                  <c:v>75</c:v>
                </c:pt>
                <c:pt idx="5">
                  <c:v>0</c:v>
                </c:pt>
                <c:pt idx="6">
                  <c:v>14</c:v>
                </c:pt>
                <c:pt idx="7">
                  <c:v>0</c:v>
                </c:pt>
                <c:pt idx="8">
                  <c:v>0</c:v>
                </c:pt>
                <c:pt idx="9">
                  <c:v>0</c:v>
                </c:pt>
              </c:numCache>
            </c:numRef>
          </c:val>
          <c:extLst>
            <c:ext xmlns:c16="http://schemas.microsoft.com/office/drawing/2014/chart" uri="{C3380CC4-5D6E-409C-BE32-E72D297353CC}">
              <c16:uniqueId val="{00000000-578D-46EF-BE16-A1980FCC9950}"/>
            </c:ext>
          </c:extLst>
        </c:ser>
        <c:ser>
          <c:idx val="1"/>
          <c:order val="1"/>
          <c:tx>
            <c:strRef>
              <c:f>'Dashboard - EDIT'!$C$72</c:f>
              <c:strCache>
                <c:ptCount val="1"/>
                <c:pt idx="0">
                  <c:v>Targeted</c:v>
                </c:pt>
              </c:strCache>
            </c:strRef>
          </c:tx>
          <c:spPr>
            <a:solidFill>
              <a:srgbClr val="D09493"/>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EDIT'!$A$73:$A$82</c:f>
              <c:strCache>
                <c:ptCount val="10"/>
                <c:pt idx="0">
                  <c:v>Resi</c:v>
                </c:pt>
                <c:pt idx="1">
                  <c:v>Silverchain VIC</c:v>
                </c:pt>
                <c:pt idx="2">
                  <c:v>Silverchain NSW</c:v>
                </c:pt>
                <c:pt idx="3">
                  <c:v>Silverchain QLD</c:v>
                </c:pt>
                <c:pt idx="4">
                  <c:v>Silverchain SA</c:v>
                </c:pt>
                <c:pt idx="5">
                  <c:v>Silverchain TAS</c:v>
                </c:pt>
                <c:pt idx="6">
                  <c:v>Silverchain ACT</c:v>
                </c:pt>
                <c:pt idx="7">
                  <c:v>Blue Cross</c:v>
                </c:pt>
                <c:pt idx="8">
                  <c:v>Baptist Inner West/East</c:v>
                </c:pt>
                <c:pt idx="9">
                  <c:v>Baptist Western</c:v>
                </c:pt>
              </c:strCache>
            </c:strRef>
          </c:cat>
          <c:val>
            <c:numRef>
              <c:f>'Dashboard - EDIT'!$C$73:$C$82</c:f>
              <c:numCache>
                <c:formatCode>General</c:formatCode>
                <c:ptCount val="10"/>
                <c:pt idx="0">
                  <c:v>3</c:v>
                </c:pt>
                <c:pt idx="1">
                  <c:v>29</c:v>
                </c:pt>
                <c:pt idx="2">
                  <c:v>29</c:v>
                </c:pt>
                <c:pt idx="3">
                  <c:v>29</c:v>
                </c:pt>
                <c:pt idx="4">
                  <c:v>29</c:v>
                </c:pt>
                <c:pt idx="5">
                  <c:v>29</c:v>
                </c:pt>
                <c:pt idx="6">
                  <c:v>29</c:v>
                </c:pt>
                <c:pt idx="7">
                  <c:v>5</c:v>
                </c:pt>
                <c:pt idx="8">
                  <c:v>2</c:v>
                </c:pt>
                <c:pt idx="9">
                  <c:v>2</c:v>
                </c:pt>
              </c:numCache>
            </c:numRef>
          </c:val>
          <c:extLst>
            <c:ext xmlns:c16="http://schemas.microsoft.com/office/drawing/2014/chart" uri="{C3380CC4-5D6E-409C-BE32-E72D297353CC}">
              <c16:uniqueId val="{00000001-578D-46EF-BE16-A1980FCC9950}"/>
            </c:ext>
          </c:extLst>
        </c:ser>
        <c:dLbls>
          <c:showLegendKey val="0"/>
          <c:showVal val="0"/>
          <c:showCatName val="0"/>
          <c:showSerName val="0"/>
          <c:showPercent val="0"/>
          <c:showBubbleSize val="0"/>
        </c:dLbls>
        <c:gapWidth val="150"/>
        <c:axId val="41003805"/>
        <c:axId val="96566929"/>
      </c:barChart>
      <c:catAx>
        <c:axId val="41003805"/>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Requests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66929"/>
        <c:crosses val="autoZero"/>
        <c:auto val="1"/>
        <c:lblAlgn val="ctr"/>
        <c:lblOffset val="100"/>
        <c:noMultiLvlLbl val="0"/>
      </c:catAx>
      <c:valAx>
        <c:axId val="96566929"/>
        <c:scaling>
          <c:orientation val="minMax"/>
        </c:scaling>
        <c:delete val="0"/>
        <c:axPos val="b"/>
        <c:majorGridlines>
          <c:spPr>
            <a:ln w="9360">
              <a:solidFill>
                <a:srgbClr val="878787"/>
              </a:solidFill>
              <a:round/>
            </a:ln>
          </c:spPr>
        </c:majorGridlines>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Client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00380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Orders Taken or Given Back by State</a:t>
            </a:r>
          </a:p>
        </c:rich>
      </c:tx>
      <c:overlay val="0"/>
      <c:spPr>
        <a:noFill/>
        <a:ln w="0">
          <a:noFill/>
        </a:ln>
      </c:spPr>
    </c:title>
    <c:autoTitleDeleted val="0"/>
    <c:plotArea>
      <c:layout/>
      <c:barChart>
        <c:barDir val="col"/>
        <c:grouping val="clustered"/>
        <c:varyColors val="0"/>
        <c:ser>
          <c:idx val="0"/>
          <c:order val="0"/>
          <c:tx>
            <c:strRef>
              <c:f>'Dashboard - EDIT'!$B$241</c:f>
              <c:strCache>
                <c:ptCount val="1"/>
                <c:pt idx="0">
                  <c:v>Requests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EDIT'!$A$242:$A$248</c:f>
              <c:strCache>
                <c:ptCount val="7"/>
                <c:pt idx="0">
                  <c:v>NSW</c:v>
                </c:pt>
                <c:pt idx="1">
                  <c:v>ACT</c:v>
                </c:pt>
                <c:pt idx="2">
                  <c:v>VIC</c:v>
                </c:pt>
                <c:pt idx="3">
                  <c:v>QLD</c:v>
                </c:pt>
                <c:pt idx="4">
                  <c:v>South Australia</c:v>
                </c:pt>
                <c:pt idx="5">
                  <c:v>Tasmania</c:v>
                </c:pt>
                <c:pt idx="6">
                  <c:v>Western Australia</c:v>
                </c:pt>
              </c:strCache>
            </c:strRef>
          </c:cat>
          <c:val>
            <c:numRef>
              <c:f>'Dashboard - EDIT'!$C$242:$C$248</c:f>
              <c:numCache>
                <c:formatCode>\$#,##0</c:formatCode>
                <c:ptCount val="7"/>
                <c:pt idx="0">
                  <c:v>380.76</c:v>
                </c:pt>
                <c:pt idx="1">
                  <c:v>507.68</c:v>
                </c:pt>
                <c:pt idx="2">
                  <c:v>507.68</c:v>
                </c:pt>
                <c:pt idx="3">
                  <c:v>317.3</c:v>
                </c:pt>
                <c:pt idx="4">
                  <c:v>317.3</c:v>
                </c:pt>
                <c:pt idx="5">
                  <c:v>0</c:v>
                </c:pt>
                <c:pt idx="6">
                  <c:v>0</c:v>
                </c:pt>
              </c:numCache>
            </c:numRef>
          </c:val>
          <c:extLst>
            <c:ext xmlns:c16="http://schemas.microsoft.com/office/drawing/2014/chart" uri="{C3380CC4-5D6E-409C-BE32-E72D297353CC}">
              <c16:uniqueId val="{00000000-97AA-484E-A3D1-2BD7AA643564}"/>
            </c:ext>
          </c:extLst>
        </c:ser>
        <c:dLbls>
          <c:showLegendKey val="0"/>
          <c:showVal val="0"/>
          <c:showCatName val="0"/>
          <c:showSerName val="0"/>
          <c:showPercent val="0"/>
          <c:showBubbleSize val="0"/>
        </c:dLbls>
        <c:gapWidth val="150"/>
        <c:axId val="35518466"/>
        <c:axId val="1565216"/>
      </c:barChart>
      <c:catAx>
        <c:axId val="35518466"/>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State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565216"/>
        <c:crosses val="autoZero"/>
        <c:auto val="1"/>
        <c:lblAlgn val="ctr"/>
        <c:lblOffset val="100"/>
        <c:noMultiLvlLbl val="0"/>
      </c:catAx>
      <c:valAx>
        <c:axId val="1565216"/>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5518466"/>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Service On Hold by State</a:t>
            </a:r>
          </a:p>
        </c:rich>
      </c:tx>
      <c:overlay val="0"/>
      <c:spPr>
        <a:noFill/>
        <a:ln w="0">
          <a:noFill/>
        </a:ln>
      </c:spPr>
    </c:title>
    <c:autoTitleDeleted val="0"/>
    <c:plotArea>
      <c:layout/>
      <c:barChart>
        <c:barDir val="col"/>
        <c:grouping val="clustered"/>
        <c:varyColors val="0"/>
        <c:ser>
          <c:idx val="0"/>
          <c:order val="0"/>
          <c:tx>
            <c:strRef>
              <c:f>'Dashboard - EDIT'!$B$251</c:f>
              <c:strCache>
                <c:ptCount val="1"/>
                <c:pt idx="0">
                  <c:v>Requests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EDIT'!$A$252:$A$258</c:f>
              <c:strCache>
                <c:ptCount val="7"/>
                <c:pt idx="0">
                  <c:v>NSW</c:v>
                </c:pt>
                <c:pt idx="1">
                  <c:v>ACT</c:v>
                </c:pt>
                <c:pt idx="2">
                  <c:v>VIC</c:v>
                </c:pt>
                <c:pt idx="3">
                  <c:v>QLD</c:v>
                </c:pt>
                <c:pt idx="4">
                  <c:v>South Australia</c:v>
                </c:pt>
                <c:pt idx="5">
                  <c:v>Tasmania</c:v>
                </c:pt>
                <c:pt idx="6">
                  <c:v>Western Australia</c:v>
                </c:pt>
              </c:strCache>
            </c:strRef>
          </c:cat>
          <c:val>
            <c:numRef>
              <c:f>'Dashboard - EDIT'!$C$252:$C$258</c:f>
              <c:numCache>
                <c:formatCode>\$#,##0</c:formatCode>
                <c:ptCount val="7"/>
                <c:pt idx="0">
                  <c:v>571.14</c:v>
                </c:pt>
                <c:pt idx="1">
                  <c:v>444.22</c:v>
                </c:pt>
                <c:pt idx="2">
                  <c:v>507.68</c:v>
                </c:pt>
                <c:pt idx="3">
                  <c:v>317.3</c:v>
                </c:pt>
                <c:pt idx="4">
                  <c:v>126.92</c:v>
                </c:pt>
                <c:pt idx="5">
                  <c:v>0</c:v>
                </c:pt>
                <c:pt idx="6">
                  <c:v>0</c:v>
                </c:pt>
              </c:numCache>
            </c:numRef>
          </c:val>
          <c:extLst>
            <c:ext xmlns:c16="http://schemas.microsoft.com/office/drawing/2014/chart" uri="{C3380CC4-5D6E-409C-BE32-E72D297353CC}">
              <c16:uniqueId val="{00000000-87EF-4E66-A0A7-0A9824CC5D5D}"/>
            </c:ext>
          </c:extLst>
        </c:ser>
        <c:dLbls>
          <c:showLegendKey val="0"/>
          <c:showVal val="0"/>
          <c:showCatName val="0"/>
          <c:showSerName val="0"/>
          <c:showPercent val="0"/>
          <c:showBubbleSize val="0"/>
        </c:dLbls>
        <c:gapWidth val="150"/>
        <c:axId val="42945278"/>
        <c:axId val="36761485"/>
      </c:barChart>
      <c:catAx>
        <c:axId val="42945278"/>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State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761485"/>
        <c:crosses val="autoZero"/>
        <c:auto val="1"/>
        <c:lblAlgn val="ctr"/>
        <c:lblOffset val="100"/>
        <c:noMultiLvlLbl val="0"/>
      </c:catAx>
      <c:valAx>
        <c:axId val="36761485"/>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945278"/>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Top Exit Reasons</a:t>
            </a:r>
          </a:p>
        </c:rich>
      </c:tx>
      <c:overlay val="0"/>
      <c:spPr>
        <a:noFill/>
        <a:ln w="0">
          <a:noFill/>
        </a:ln>
      </c:spPr>
    </c:title>
    <c:autoTitleDeleted val="0"/>
    <c:plotArea>
      <c:layout/>
      <c:barChart>
        <c:barDir val="col"/>
        <c:grouping val="clustered"/>
        <c:varyColors val="0"/>
        <c:ser>
          <c:idx val="0"/>
          <c:order val="0"/>
          <c:tx>
            <c:strRef>
              <c:f>'Dashboard - EDIT'!$B$124</c:f>
              <c:strCache>
                <c:ptCount val="1"/>
                <c:pt idx="0">
                  <c:v>Count</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EDIT'!$A$125:$A$131</c:f>
              <c:strCache>
                <c:ptCount val="7"/>
                <c:pt idx="0">
                  <c:v>No reason provided</c:v>
                </c:pt>
                <c:pt idx="1">
                  <c:v>Moved to inhouse</c:v>
                </c:pt>
                <c:pt idx="2">
                  <c:v>Discharged</c:v>
                </c:pt>
                <c:pt idx="3">
                  <c:v>Hospitalisation</c:v>
                </c:pt>
                <c:pt idx="4">
                  <c:v>Deceased</c:v>
                </c:pt>
                <c:pt idx="5">
                  <c:v>Changed provider</c:v>
                </c:pt>
                <c:pt idx="6">
                  <c:v>Other / not yet categorised</c:v>
                </c:pt>
              </c:strCache>
            </c:strRef>
          </c:cat>
          <c:val>
            <c:numRef>
              <c:f>'Dashboard - EDIT'!$B$125:$B$131</c:f>
              <c:numCache>
                <c:formatCode>General</c:formatCode>
                <c:ptCount val="7"/>
                <c:pt idx="0">
                  <c:v>2</c:v>
                </c:pt>
                <c:pt idx="1">
                  <c:v>1</c:v>
                </c:pt>
                <c:pt idx="2">
                  <c:v>2</c:v>
                </c:pt>
                <c:pt idx="3">
                  <c:v>0</c:v>
                </c:pt>
                <c:pt idx="4">
                  <c:v>3</c:v>
                </c:pt>
                <c:pt idx="5">
                  <c:v>0</c:v>
                </c:pt>
                <c:pt idx="6">
                  <c:v>3</c:v>
                </c:pt>
              </c:numCache>
            </c:numRef>
          </c:val>
          <c:extLst>
            <c:ext xmlns:c16="http://schemas.microsoft.com/office/drawing/2014/chart" uri="{C3380CC4-5D6E-409C-BE32-E72D297353CC}">
              <c16:uniqueId val="{00000000-351F-4704-95F5-0A76F1349D32}"/>
            </c:ext>
          </c:extLst>
        </c:ser>
        <c:dLbls>
          <c:showLegendKey val="0"/>
          <c:showVal val="0"/>
          <c:showCatName val="0"/>
          <c:showSerName val="0"/>
          <c:showPercent val="0"/>
          <c:showBubbleSize val="0"/>
        </c:dLbls>
        <c:gapWidth val="150"/>
        <c:axId val="53251894"/>
        <c:axId val="8037396"/>
      </c:barChart>
      <c:catAx>
        <c:axId val="53251894"/>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Reason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037396"/>
        <c:crosses val="autoZero"/>
        <c:auto val="1"/>
        <c:lblAlgn val="ctr"/>
        <c:lblOffset val="100"/>
        <c:noMultiLvlLbl val="0"/>
      </c:catAx>
      <c:valAx>
        <c:axId val="8037396"/>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3251894"/>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57240</xdr:rowOff>
    </xdr:from>
    <xdr:to>
      <xdr:col>0</xdr:col>
      <xdr:colOff>5371920</xdr:colOff>
      <xdr:row>42</xdr:row>
      <xdr:rowOff>55080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720</xdr:colOff>
      <xdr:row>8</xdr:row>
      <xdr:rowOff>57240</xdr:rowOff>
    </xdr:from>
    <xdr:to>
      <xdr:col>6</xdr:col>
      <xdr:colOff>23445</xdr:colOff>
      <xdr:row>24</xdr:row>
      <xdr:rowOff>55080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624960</xdr:colOff>
      <xdr:row>8</xdr:row>
      <xdr:rowOff>57240</xdr:rowOff>
    </xdr:from>
    <xdr:to>
      <xdr:col>14</xdr:col>
      <xdr:colOff>399960</xdr:colOff>
      <xdr:row>24</xdr:row>
      <xdr:rowOff>55080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387000</xdr:colOff>
      <xdr:row>8</xdr:row>
      <xdr:rowOff>57240</xdr:rowOff>
    </xdr:from>
    <xdr:to>
      <xdr:col>23</xdr:col>
      <xdr:colOff>489240</xdr:colOff>
      <xdr:row>24</xdr:row>
      <xdr:rowOff>55080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57240</xdr:rowOff>
    </xdr:from>
    <xdr:to>
      <xdr:col>0</xdr:col>
      <xdr:colOff>5371920</xdr:colOff>
      <xdr:row>24</xdr:row>
      <xdr:rowOff>55080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720</xdr:colOff>
      <xdr:row>26</xdr:row>
      <xdr:rowOff>57240</xdr:rowOff>
    </xdr:from>
    <xdr:to>
      <xdr:col>6</xdr:col>
      <xdr:colOff>38205</xdr:colOff>
      <xdr:row>42</xdr:row>
      <xdr:rowOff>55080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47</xdr:row>
      <xdr:rowOff>57240</xdr:rowOff>
    </xdr:from>
    <xdr:to>
      <xdr:col>4</xdr:col>
      <xdr:colOff>148110</xdr:colOff>
      <xdr:row>65</xdr:row>
      <xdr:rowOff>55080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640080</xdr:colOff>
      <xdr:row>26</xdr:row>
      <xdr:rowOff>57240</xdr:rowOff>
    </xdr:from>
    <xdr:to>
      <xdr:col>14</xdr:col>
      <xdr:colOff>400320</xdr:colOff>
      <xdr:row>42</xdr:row>
      <xdr:rowOff>55080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387000</xdr:colOff>
      <xdr:row>26</xdr:row>
      <xdr:rowOff>57240</xdr:rowOff>
    </xdr:from>
    <xdr:to>
      <xdr:col>23</xdr:col>
      <xdr:colOff>489240</xdr:colOff>
      <xdr:row>42</xdr:row>
      <xdr:rowOff>55080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0</xdr:colOff>
      <xdr:row>47</xdr:row>
      <xdr:rowOff>57240</xdr:rowOff>
    </xdr:from>
    <xdr:to>
      <xdr:col>14</xdr:col>
      <xdr:colOff>504360</xdr:colOff>
      <xdr:row>65</xdr:row>
      <xdr:rowOff>55440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268"/>
  <sheetViews>
    <sheetView zoomScale="98" zoomScaleNormal="98" workbookViewId="0">
      <selection activeCell="J146" sqref="J146"/>
    </sheetView>
  </sheetViews>
  <sheetFormatPr defaultColWidth="8.7109375" defaultRowHeight="15"/>
  <cols>
    <col min="1" max="1" width="80.5703125" customWidth="1"/>
    <col min="2" max="2" width="15.28515625" customWidth="1"/>
    <col min="3" max="3" width="22.5703125" customWidth="1"/>
    <col min="4" max="4" width="20" customWidth="1"/>
    <col min="5" max="12" width="11" customWidth="1"/>
    <col min="14" max="15" width="8.42578125" customWidth="1"/>
  </cols>
  <sheetData>
    <row r="1" spans="1:24" ht="31.5" customHeight="1">
      <c r="A1" s="42" t="s">
        <v>0</v>
      </c>
      <c r="B1" s="42"/>
      <c r="C1" s="42"/>
      <c r="D1" s="42"/>
      <c r="E1" s="42"/>
      <c r="F1" s="42"/>
      <c r="G1" s="42"/>
      <c r="H1" s="42"/>
      <c r="I1" s="42"/>
      <c r="J1" s="42"/>
      <c r="K1" s="42"/>
      <c r="L1" s="42"/>
      <c r="M1" s="1"/>
      <c r="N1" s="1"/>
      <c r="O1" s="1"/>
      <c r="P1" s="1"/>
      <c r="Q1" s="1"/>
      <c r="R1" s="1"/>
      <c r="S1" s="1"/>
      <c r="T1" s="1"/>
      <c r="U1" s="1"/>
      <c r="V1" s="1"/>
      <c r="W1" s="1"/>
      <c r="X1" s="1"/>
    </row>
    <row r="2" spans="1:24" ht="15" customHeight="1"/>
    <row r="3" spans="1:24" ht="15" customHeight="1">
      <c r="A3" s="2" t="s">
        <v>1</v>
      </c>
      <c r="C3" s="3" t="s">
        <v>2</v>
      </c>
      <c r="D3" s="4"/>
    </row>
    <row r="4" spans="1:24" ht="15" customHeight="1">
      <c r="A4" s="5"/>
    </row>
    <row r="5" spans="1:24" ht="15" customHeight="1">
      <c r="A5" s="2"/>
    </row>
    <row r="6" spans="1:24" ht="15" customHeight="1">
      <c r="A6" s="43" t="s">
        <v>3</v>
      </c>
      <c r="B6" s="43"/>
      <c r="C6" s="43" t="s">
        <v>4</v>
      </c>
      <c r="D6" s="43"/>
      <c r="E6" s="43" t="s">
        <v>5</v>
      </c>
      <c r="F6" s="43"/>
      <c r="G6" s="43" t="s">
        <v>6</v>
      </c>
      <c r="H6" s="43"/>
      <c r="I6" s="43" t="s">
        <v>7</v>
      </c>
      <c r="J6" s="43"/>
      <c r="K6" s="43" t="s">
        <v>8</v>
      </c>
      <c r="L6" s="43"/>
    </row>
    <row r="7" spans="1:24" ht="15" customHeight="1">
      <c r="A7" s="44" t="str">
        <f>TEXT(SUMPRODUCT(('NEW SERVICE &amp; RESUME REQUESTS'!$C$4:$C$995="New Service &amp; Resume Requests")*(($C$3="All")+(MONTH('NEW SERVICE &amp; RESUME REQUESTS'!$G$4:$G$995)=IF($C$3="July",7,IF($C$3="August",8,0))))),"0")&amp;" · $"&amp;TEXT(SUMPRODUCT(('NEW SERVICE &amp; RESUME REQUESTS'!$C$4:$C$995="New Service &amp; Resume Requests")*(($C$3="All")+(MONTH('NEW SERVICE &amp; RESUME REQUESTS'!$G$4:$G$995)=IF($C$3="July",7,IF($C$3="August",8,0))))*'NEW SERVICE &amp; RESUME REQUESTS'!$E$4:$E$995)/1000,"0.0")&amp;"k"</f>
        <v>141 · $29.3k</v>
      </c>
      <c r="B7" s="44"/>
      <c r="C7" s="44" t="str">
        <f>TEXT(SUM(B233:B239),"0")&amp;" · $"&amp;TEXT(SUM(C233:C239)/1000,"0.0")&amp;"k"</f>
        <v>7 · $1.4k</v>
      </c>
      <c r="D7" s="44"/>
      <c r="E7" s="44" t="str">
        <f>TEXT(SUM(B243:B249),"0")&amp;" · $"&amp;TEXT(SUM(C243:C249)/1000,"0.0")&amp;"k"</f>
        <v>8 · $1.6k</v>
      </c>
      <c r="F7" s="44"/>
      <c r="G7" s="44" t="str">
        <f>TEXT(SUM(B253:B259),"0")&amp;" · $"&amp;TEXT(SUM(C253:C259)/1000,"0.0")&amp;"k"</f>
        <v>7 · $1.4k</v>
      </c>
      <c r="H7" s="44"/>
      <c r="I7" s="44" t="str">
        <f>TEXT(SUMPRODUCT((CHURN!$K$2:$K$995&lt;&gt;"")*(($C$3="All")+(MONTH(CHURN!$K$2:$K$995)=IF($C$3="July",7,IF($C$3="August",8,0))))),"0")&amp;" records"</f>
        <v>11 records</v>
      </c>
      <c r="J7" s="44"/>
      <c r="K7" s="44" t="str">
        <f>TEXT(SUMPRODUCT(('NEW SERVICE &amp; RESUME REQUESTS'!$C$4:$C$995="New Service &amp; Resume Requests")*(($C$3="All")+(MONTH('NEW SERVICE &amp; RESUME REQUESTS'!$G$4:$G$995)=IF($C$3="July",7,IF($C$3="August",8,0)))))-SUMPRODUCT((CHURN!$K$2:$K$995&lt;&gt;"")*(($C$3="All")+(MONTH(CHURN!$K$2:$K$995)=IF($C$3="July",7,IF($C$3="August",8,0))))),"+0;-0")</f>
        <v>+130</v>
      </c>
      <c r="L7" s="44"/>
    </row>
    <row r="8" spans="1:24" ht="15" customHeight="1">
      <c r="A8" s="5"/>
    </row>
    <row r="9" spans="1:24" ht="15" customHeight="1">
      <c r="A9" s="2"/>
    </row>
    <row r="10" spans="1:24" ht="15" customHeight="1">
      <c r="A10" s="2"/>
    </row>
    <row r="11" spans="1:24" ht="15" customHeight="1">
      <c r="A11" s="2"/>
    </row>
    <row r="12" spans="1:24" ht="15" customHeight="1">
      <c r="A12" s="2"/>
    </row>
    <row r="13" spans="1:24" ht="15" customHeight="1">
      <c r="A13" s="2"/>
    </row>
    <row r="14" spans="1:24" ht="15" customHeight="1">
      <c r="A14" s="2"/>
    </row>
    <row r="15" spans="1:24" ht="15" customHeight="1">
      <c r="A15" s="2"/>
    </row>
    <row r="16" spans="1:24" ht="15" customHeight="1">
      <c r="A16" s="2"/>
    </row>
    <row r="17" spans="1:1" ht="15" customHeight="1">
      <c r="A17" s="2"/>
    </row>
    <row r="18" spans="1:1" ht="15" customHeight="1">
      <c r="A18" s="2"/>
    </row>
    <row r="19" spans="1:1" ht="15" customHeight="1">
      <c r="A19" s="2"/>
    </row>
    <row r="20" spans="1:1" ht="15" customHeight="1">
      <c r="A20" s="2"/>
    </row>
    <row r="21" spans="1:1" ht="15" customHeight="1">
      <c r="A21" s="2"/>
    </row>
    <row r="22" spans="1:1" ht="15" customHeight="1">
      <c r="A22" s="5" t="s">
        <v>9</v>
      </c>
    </row>
    <row r="23" spans="1:1" ht="15" customHeight="1">
      <c r="A23" s="2"/>
    </row>
    <row r="24" spans="1:1" ht="15" customHeight="1">
      <c r="A24" s="2"/>
    </row>
    <row r="25" spans="1:1" ht="15" customHeight="1">
      <c r="A25" s="2"/>
    </row>
    <row r="26" spans="1:1" ht="15" customHeight="1">
      <c r="A26" s="2"/>
    </row>
    <row r="27" spans="1:1" ht="15" customHeight="1">
      <c r="A27" s="2"/>
    </row>
    <row r="28" spans="1:1" ht="15" customHeight="1">
      <c r="A28" s="2"/>
    </row>
    <row r="29" spans="1:1" ht="15" customHeight="1">
      <c r="A29" s="2"/>
    </row>
    <row r="30" spans="1:1" ht="15" customHeight="1">
      <c r="A30" s="2"/>
    </row>
    <row r="31" spans="1:1" ht="15" customHeight="1">
      <c r="A31" s="2"/>
    </row>
    <row r="32" spans="1:1" ht="15" customHeight="1">
      <c r="A32" s="2"/>
    </row>
    <row r="33" spans="1:15" ht="15" customHeight="1">
      <c r="A33" s="2"/>
    </row>
    <row r="34" spans="1:15" ht="15" customHeight="1">
      <c r="A34" s="2"/>
    </row>
    <row r="35" spans="1:15" ht="15" customHeight="1">
      <c r="A35" s="2"/>
    </row>
    <row r="36" spans="1:15" ht="15" customHeight="1">
      <c r="A36" s="2"/>
    </row>
    <row r="37" spans="1:15" ht="15" customHeight="1">
      <c r="A37" s="2"/>
    </row>
    <row r="38" spans="1:15" ht="15" customHeight="1">
      <c r="A38" s="2"/>
    </row>
    <row r="39" spans="1:15" ht="15" customHeight="1">
      <c r="A39" s="2"/>
    </row>
    <row r="40" spans="1:15" ht="15" customHeight="1">
      <c r="A40" s="2"/>
    </row>
    <row r="41" spans="1:15" ht="15" customHeight="1">
      <c r="N41" s="6"/>
      <c r="O41" s="6"/>
    </row>
    <row r="42" spans="1:15" ht="15" customHeight="1">
      <c r="N42" s="6"/>
      <c r="O42" s="6"/>
    </row>
    <row r="43" spans="1:15" ht="15" customHeight="1">
      <c r="A43" s="7"/>
      <c r="N43" s="6"/>
      <c r="O43" s="6"/>
    </row>
    <row r="44" spans="1:15" ht="15" customHeight="1">
      <c r="N44" s="6"/>
      <c r="O44" s="6"/>
    </row>
    <row r="45" spans="1:15" ht="15" customHeight="1">
      <c r="N45" s="6"/>
      <c r="O45" s="6"/>
    </row>
    <row r="46" spans="1:15" ht="15" customHeight="1">
      <c r="N46" s="6"/>
      <c r="O46" s="6"/>
    </row>
    <row r="47" spans="1:15" ht="15" customHeight="1">
      <c r="N47" s="6"/>
      <c r="O47" s="6"/>
    </row>
    <row r="48" spans="1:15" ht="15" customHeight="1">
      <c r="N48" s="6"/>
      <c r="O48" s="6"/>
    </row>
    <row r="49" spans="14:15" ht="15" customHeight="1">
      <c r="N49" s="6"/>
      <c r="O49" s="6"/>
    </row>
    <row r="50" spans="14:15" ht="15" customHeight="1">
      <c r="N50" s="6"/>
      <c r="O50" s="6"/>
    </row>
    <row r="51" spans="14:15" ht="15" customHeight="1">
      <c r="N51" s="6"/>
      <c r="O51" s="6"/>
    </row>
    <row r="52" spans="14:15" ht="15" customHeight="1">
      <c r="N52" s="6"/>
      <c r="O52" s="6"/>
    </row>
    <row r="53" spans="14:15" ht="15" customHeight="1">
      <c r="N53" s="8"/>
      <c r="O53" s="8"/>
    </row>
    <row r="54" spans="14:15" ht="15" customHeight="1">
      <c r="N54" s="6"/>
      <c r="O54" s="6"/>
    </row>
    <row r="55" spans="14:15" ht="15" customHeight="1">
      <c r="N55" s="6"/>
      <c r="O55" s="6"/>
    </row>
    <row r="56" spans="14:15" ht="15" customHeight="1">
      <c r="N56" s="6"/>
      <c r="O56" s="6"/>
    </row>
    <row r="57" spans="14:15" ht="15" customHeight="1">
      <c r="N57" s="6"/>
      <c r="O57" s="6"/>
    </row>
    <row r="58" spans="14:15" ht="15" customHeight="1">
      <c r="N58" s="6"/>
      <c r="O58" s="6"/>
    </row>
    <row r="59" spans="14:15" ht="15" customHeight="1">
      <c r="N59" s="6"/>
      <c r="O59" s="6"/>
    </row>
    <row r="60" spans="14:15" ht="15" customHeight="1">
      <c r="N60" s="6"/>
      <c r="O60" s="6"/>
    </row>
    <row r="61" spans="14:15" ht="15" customHeight="1">
      <c r="N61" s="6"/>
      <c r="O61" s="6"/>
    </row>
    <row r="62" spans="14:15" ht="15" customHeight="1">
      <c r="N62" s="6"/>
      <c r="O62" s="6"/>
    </row>
    <row r="63" spans="14:15" ht="15" customHeight="1">
      <c r="N63" s="6"/>
      <c r="O63" s="6"/>
    </row>
    <row r="64" spans="14:15" ht="15" customHeight="1">
      <c r="N64" s="6"/>
      <c r="O64" s="6"/>
    </row>
    <row r="65" spans="1:15" ht="15" customHeight="1">
      <c r="N65" s="6"/>
      <c r="O65" s="6"/>
    </row>
    <row r="66" spans="1:15" ht="15" customHeight="1">
      <c r="N66" s="6"/>
      <c r="O66" s="6"/>
    </row>
    <row r="67" spans="1:15" ht="15" customHeight="1">
      <c r="N67" s="6"/>
      <c r="O67" s="6"/>
    </row>
    <row r="68" spans="1:15" ht="15" customHeight="1">
      <c r="N68" s="6"/>
      <c r="O68" s="6"/>
    </row>
    <row r="69" spans="1:15" ht="15" customHeight="1">
      <c r="N69" s="6"/>
      <c r="O69" s="6"/>
    </row>
    <row r="70" spans="1:15" ht="15" customHeight="1">
      <c r="N70" s="6"/>
      <c r="O70" s="6"/>
    </row>
    <row r="71" spans="1:15" ht="15" customHeight="1">
      <c r="N71" s="6"/>
      <c r="O71" s="6"/>
    </row>
    <row r="72" spans="1:15" ht="23.25" customHeight="1">
      <c r="A72" s="9" t="s">
        <v>10</v>
      </c>
      <c r="B72" s="9" t="s">
        <v>11</v>
      </c>
      <c r="C72" s="9" t="s">
        <v>12</v>
      </c>
      <c r="D72" s="9" t="s">
        <v>13</v>
      </c>
      <c r="N72" s="6"/>
      <c r="O72" s="6"/>
    </row>
    <row r="73" spans="1:15" ht="15" customHeight="1">
      <c r="A73" s="10" t="s">
        <v>14</v>
      </c>
      <c r="B73" s="11">
        <f>SUMPRODUCT(('NEW SERVICE &amp; RESUME REQUESTS'!$F$4:$F$995=A73)*('NEW SERVICE &amp; RESUME REQUESTS'!$C$4:$C$995="New Service &amp; Resume Requests")*(($C$3="All")+(MONTH('NEW SERVICE &amp; RESUME REQUESTS'!$G$4:$G$995)=IF($C$3="July",7,IF($C$3="August",8,0)))))</f>
        <v>0</v>
      </c>
      <c r="C73" s="11">
        <f>SUMIFS(Targets!$D$5:$D$80,Targets!$A$5:$A$80,A73,Targets!$B$5:$B$80,"New Service &amp; Resume Requests")</f>
        <v>3</v>
      </c>
      <c r="D73" s="12">
        <f>SUMPRODUCT(('NEW SERVICE &amp; RESUME REQUESTS'!$F$4:$F$995=A73)*('NEW SERVICE &amp; RESUME REQUESTS'!$C$4:$C$995="New Service &amp; Resume Requests")*(($C$3="All")+(MONTH('NEW SERVICE &amp; RESUME REQUESTS'!$G$4:$G$995)=IF($C$3="July",7,IF($C$3="August",8,0))))*'NEW SERVICE &amp; RESUME REQUESTS'!$E$4:$E$995)</f>
        <v>0</v>
      </c>
      <c r="N73" s="6"/>
      <c r="O73" s="6"/>
    </row>
    <row r="74" spans="1:15" ht="15" customHeight="1">
      <c r="A74" s="10" t="s">
        <v>15</v>
      </c>
      <c r="B74" s="11">
        <f>SUMPRODUCT(('NEW SERVICE &amp; RESUME REQUESTS'!$F$4:$F$995=A74)*('NEW SERVICE &amp; RESUME REQUESTS'!$C$4:$C$995="New Service &amp; Resume Requests")*(($C$3="All")+(MONTH('NEW SERVICE &amp; RESUME REQUESTS'!$G$4:$G$995)=IF($C$3="July",7,IF($C$3="August",8,0)))))</f>
        <v>4</v>
      </c>
      <c r="C74" s="11">
        <f>SUMIFS(Targets!$D$5:$D$80,Targets!$A$5:$A$80,A74,Targets!$B$5:$B$80,"New Service &amp; Resume Requests")</f>
        <v>29</v>
      </c>
      <c r="D74" s="12">
        <f>SUMPRODUCT(('NEW SERVICE &amp; RESUME REQUESTS'!$F$4:$F$995=A74)*('NEW SERVICE &amp; RESUME REQUESTS'!$C$4:$C$995="New Service &amp; Resume Requests")*(($C$3="All")+(MONTH('NEW SERVICE &amp; RESUME REQUESTS'!$G$4:$G$995)=IF($C$3="July",7,IF($C$3="August",8,0))))*'NEW SERVICE &amp; RESUME REQUESTS'!$E$4:$E$995)</f>
        <v>888.43999999999994</v>
      </c>
      <c r="N74" s="6"/>
      <c r="O74" s="6"/>
    </row>
    <row r="75" spans="1:15" ht="15" customHeight="1">
      <c r="A75" s="10" t="s">
        <v>16</v>
      </c>
      <c r="B75" s="11">
        <f>SUMPRODUCT(('NEW SERVICE &amp; RESUME REQUESTS'!$F$4:$F$995=A75)*('NEW SERVICE &amp; RESUME REQUESTS'!$C$4:$C$995="New Service &amp; Resume Requests")*(($C$3="All")+(MONTH('NEW SERVICE &amp; RESUME REQUESTS'!$G$4:$G$995)=IF($C$3="July",7,IF($C$3="August",8,0)))))</f>
        <v>17</v>
      </c>
      <c r="C75" s="11">
        <f>SUMIFS(Targets!$D$5:$D$80,Targets!$A$5:$A$80,A75,Targets!$B$5:$B$80,"New Service &amp; Resume Requests")</f>
        <v>29</v>
      </c>
      <c r="D75" s="12">
        <f>SUMPRODUCT(('NEW SERVICE &amp; RESUME REQUESTS'!$F$4:$F$995=A75)*('NEW SERVICE &amp; RESUME REQUESTS'!$C$4:$C$995="New Service &amp; Resume Requests")*(($C$3="All")+(MONTH('NEW SERVICE &amp; RESUME REQUESTS'!$G$4:$G$995)=IF($C$3="July",7,IF($C$3="August",8,0))))*'NEW SERVICE &amp; RESUME REQUESTS'!$E$4:$E$995)</f>
        <v>3712.4100000000008</v>
      </c>
      <c r="N75" s="6"/>
      <c r="O75" s="6"/>
    </row>
    <row r="76" spans="1:15" ht="15" customHeight="1">
      <c r="A76" s="10" t="s">
        <v>17</v>
      </c>
      <c r="B76" s="11">
        <f>SUMPRODUCT(('NEW SERVICE &amp; RESUME REQUESTS'!$F$4:$F$995=A76)*('NEW SERVICE &amp; RESUME REQUESTS'!$C$4:$C$995="New Service &amp; Resume Requests")*(($C$3="All")+(MONTH('NEW SERVICE &amp; RESUME REQUESTS'!$G$4:$G$995)=IF($C$3="July",7,IF($C$3="August",8,0)))))</f>
        <v>0</v>
      </c>
      <c r="C76" s="11">
        <f>SUMIFS(Targets!$D$5:$D$80,Targets!$A$5:$A$80,A76,Targets!$B$5:$B$80,"New Service &amp; Resume Requests")</f>
        <v>29</v>
      </c>
      <c r="D76" s="12">
        <f>SUMPRODUCT(('NEW SERVICE &amp; RESUME REQUESTS'!$F$4:$F$995=A76)*('NEW SERVICE &amp; RESUME REQUESTS'!$C$4:$C$995="New Service &amp; Resume Requests")*(($C$3="All")+(MONTH('NEW SERVICE &amp; RESUME REQUESTS'!$G$4:$G$995)=IF($C$3="July",7,IF($C$3="August",8,0))))*'NEW SERVICE &amp; RESUME REQUESTS'!$E$4:$E$995)</f>
        <v>0</v>
      </c>
      <c r="N76" s="6"/>
      <c r="O76" s="6"/>
    </row>
    <row r="77" spans="1:15" ht="15" customHeight="1">
      <c r="A77" s="10" t="s">
        <v>18</v>
      </c>
      <c r="B77" s="11">
        <f>SUMPRODUCT(('NEW SERVICE &amp; RESUME REQUESTS'!$F$4:$F$995=A77)*('NEW SERVICE &amp; RESUME REQUESTS'!$C$4:$C$995="New Service &amp; Resume Requests")*(($C$3="All")+(MONTH('NEW SERVICE &amp; RESUME REQUESTS'!$G$4:$G$995)=IF($C$3="July",7,IF($C$3="August",8,0)))))</f>
        <v>75</v>
      </c>
      <c r="C77" s="11">
        <f>SUMIFS(Targets!$D$5:$D$80,Targets!$A$5:$A$80,A77,Targets!$B$5:$B$80,"New Service &amp; Resume Requests")</f>
        <v>29</v>
      </c>
      <c r="D77" s="12">
        <f>SUMPRODUCT(('NEW SERVICE &amp; RESUME REQUESTS'!$F$4:$F$995=A77)*('NEW SERVICE &amp; RESUME REQUESTS'!$C$4:$C$995="New Service &amp; Resume Requests")*(($C$3="All")+(MONTH('NEW SERVICE &amp; RESUME REQUESTS'!$G$4:$G$995)=IF($C$3="July",7,IF($C$3="August",8,0))))*'NEW SERVICE &amp; RESUME REQUESTS'!$E$4:$E$995)</f>
        <v>14627.529999999979</v>
      </c>
      <c r="N77" s="6"/>
      <c r="O77" s="6"/>
    </row>
    <row r="78" spans="1:15" ht="15" customHeight="1">
      <c r="A78" s="10" t="s">
        <v>19</v>
      </c>
      <c r="B78" s="11">
        <f>SUMPRODUCT(('NEW SERVICE &amp; RESUME REQUESTS'!$F$4:$F$995=A78)*('NEW SERVICE &amp; RESUME REQUESTS'!$C$4:$C$995="New Service &amp; Resume Requests")*(($C$3="All")+(MONTH('NEW SERVICE &amp; RESUME REQUESTS'!$G$4:$G$995)=IF($C$3="July",7,IF($C$3="August",8,0)))))</f>
        <v>0</v>
      </c>
      <c r="C78" s="11">
        <f>SUMIFS(Targets!$D$5:$D$80,Targets!$A$5:$A$80,A78,Targets!$B$5:$B$80,"New Service &amp; Resume Requests")</f>
        <v>29</v>
      </c>
      <c r="D78" s="12">
        <f>SUMPRODUCT(('NEW SERVICE &amp; RESUME REQUESTS'!$F$4:$F$995=A78)*('NEW SERVICE &amp; RESUME REQUESTS'!$C$4:$C$995="New Service &amp; Resume Requests")*(($C$3="All")+(MONTH('NEW SERVICE &amp; RESUME REQUESTS'!$G$4:$G$995)=IF($C$3="July",7,IF($C$3="August",8,0))))*'NEW SERVICE &amp; RESUME REQUESTS'!$E$4:$E$995)</f>
        <v>0</v>
      </c>
      <c r="N78" s="8"/>
      <c r="O78" s="8"/>
    </row>
    <row r="79" spans="1:15" ht="15" customHeight="1">
      <c r="A79" s="10" t="s">
        <v>20</v>
      </c>
      <c r="B79" s="11">
        <f>SUMPRODUCT(('NEW SERVICE &amp; RESUME REQUESTS'!$F$4:$F$995=A79)*('NEW SERVICE &amp; RESUME REQUESTS'!$C$4:$C$995="New Service &amp; Resume Requests")*(($C$3="All")+(MONTH('NEW SERVICE &amp; RESUME REQUESTS'!$G$4:$G$995)=IF($C$3="July",7,IF($C$3="August",8,0)))))</f>
        <v>14</v>
      </c>
      <c r="C79" s="11">
        <f>SUMIFS(Targets!$D$5:$D$80,Targets!$A$5:$A$80,A79,Targets!$B$5:$B$80,"New Service &amp; Resume Requests")</f>
        <v>29</v>
      </c>
      <c r="D79" s="12">
        <f>SUMPRODUCT(('NEW SERVICE &amp; RESUME REQUESTS'!$F$4:$F$995=A79)*('NEW SERVICE &amp; RESUME REQUESTS'!$C$4:$C$995="New Service &amp; Resume Requests")*(($C$3="All")+(MONTH('NEW SERVICE &amp; RESUME REQUESTS'!$G$4:$G$995)=IF($C$3="July",7,IF($C$3="August",8,0))))*'NEW SERVICE &amp; RESUME REQUESTS'!$E$4:$E$995)</f>
        <v>2719.5800000000004</v>
      </c>
      <c r="N79" s="6"/>
      <c r="O79" s="6"/>
    </row>
    <row r="80" spans="1:15" ht="15" customHeight="1">
      <c r="A80" s="10" t="s">
        <v>21</v>
      </c>
      <c r="B80" s="11">
        <f>SUMPRODUCT(('NEW SERVICE &amp; RESUME REQUESTS'!$F$4:$F$995=A80)*('NEW SERVICE &amp; RESUME REQUESTS'!$C$4:$C$995="New Service &amp; Resume Requests")*(($C$3="All")+(MONTH('NEW SERVICE &amp; RESUME REQUESTS'!$G$4:$G$995)=IF($C$3="July",7,IF($C$3="August",8,0)))))</f>
        <v>0</v>
      </c>
      <c r="C80" s="11">
        <f>SUMIFS(Targets!$D$5:$D$80,Targets!$A$5:$A$80,A80,Targets!$B$5:$B$80,"New Service &amp; Resume Requests")</f>
        <v>5</v>
      </c>
      <c r="D80" s="12">
        <f>SUMPRODUCT(('NEW SERVICE &amp; RESUME REQUESTS'!$F$4:$F$995=A80)*('NEW SERVICE &amp; RESUME REQUESTS'!$C$4:$C$995="New Service &amp; Resume Requests")*(($C$3="All")+(MONTH('NEW SERVICE &amp; RESUME REQUESTS'!$G$4:$G$995)=IF($C$3="July",7,IF($C$3="August",8,0))))*'NEW SERVICE &amp; RESUME REQUESTS'!$E$4:$E$995)</f>
        <v>0</v>
      </c>
      <c r="N80" s="6"/>
      <c r="O80" s="6"/>
    </row>
    <row r="81" spans="1:15" ht="15" customHeight="1">
      <c r="A81" s="10" t="s">
        <v>22</v>
      </c>
      <c r="B81" s="11">
        <f>SUMPRODUCT(('NEW SERVICE &amp; RESUME REQUESTS'!$F$4:$F$995=A81)*('NEW SERVICE &amp; RESUME REQUESTS'!$C$4:$C$995="New Service &amp; Resume Requests")*(($C$3="All")+(MONTH('NEW SERVICE &amp; RESUME REQUESTS'!$G$4:$G$995)=IF($C$3="July",7,IF($C$3="August",8,0)))))</f>
        <v>0</v>
      </c>
      <c r="C81" s="11">
        <f>SUMIFS(Targets!$D$5:$D$80,Targets!$A$5:$A$80,A81,Targets!$B$5:$B$80,"New Service &amp; Resume Requests")</f>
        <v>2</v>
      </c>
      <c r="D81" s="12">
        <f>SUMPRODUCT(('NEW SERVICE &amp; RESUME REQUESTS'!$F$4:$F$995=A81)*('NEW SERVICE &amp; RESUME REQUESTS'!$C$4:$C$995="New Service &amp; Resume Requests")*(($C$3="All")+(MONTH('NEW SERVICE &amp; RESUME REQUESTS'!$G$4:$G$995)=IF($C$3="July",7,IF($C$3="August",8,0))))*'NEW SERVICE &amp; RESUME REQUESTS'!$E$4:$E$995)</f>
        <v>0</v>
      </c>
      <c r="N81" s="6"/>
      <c r="O81" s="6"/>
    </row>
    <row r="82" spans="1:15" ht="15" customHeight="1">
      <c r="A82" s="10" t="s">
        <v>23</v>
      </c>
      <c r="B82" s="11">
        <f>SUMPRODUCT(('NEW SERVICE &amp; RESUME REQUESTS'!$F$4:$F$995=A82)*('NEW SERVICE &amp; RESUME REQUESTS'!$C$4:$C$995="New Service &amp; Resume Requests")*(($C$3="All")+(MONTH('NEW SERVICE &amp; RESUME REQUESTS'!$G$4:$G$995)=IF($C$3="July",7,IF($C$3="August",8,0)))))</f>
        <v>0</v>
      </c>
      <c r="C82" s="11">
        <f>SUMIFS(Targets!$D$5:$D$80,Targets!$A$5:$A$80,A82,Targets!$B$5:$B$80,"New Service &amp; Resume Requests")</f>
        <v>2</v>
      </c>
      <c r="D82" s="12">
        <f>SUMPRODUCT(('NEW SERVICE &amp; RESUME REQUESTS'!$F$4:$F$995=A82)*('NEW SERVICE &amp; RESUME REQUESTS'!$C$4:$C$995="New Service &amp; Resume Requests")*(($C$3="All")+(MONTH('NEW SERVICE &amp; RESUME REQUESTS'!$G$4:$G$995)=IF($C$3="July",7,IF($C$3="August",8,0))))*'NEW SERVICE &amp; RESUME REQUESTS'!$E$4:$E$995)</f>
        <v>0</v>
      </c>
      <c r="N82" s="8"/>
      <c r="O82" s="8"/>
    </row>
    <row r="83" spans="1:15" ht="15" customHeight="1">
      <c r="A83" s="4" t="s">
        <v>24</v>
      </c>
      <c r="B83">
        <f>SUMPRODUCT(('NEW SERVICE &amp; RESUME REQUESTS'!$F$4:$F$995=A83)*('NEW SERVICE &amp; RESUME REQUESTS'!$C$4:$C$995="New Service &amp; Resume Requests")*(($C$3="All")+(MONTH('NEW SERVICE &amp; RESUME REQUESTS'!$G$4:$G$995)=IF($C$3="July",7,IF($C$3="August",8,0)))))</f>
        <v>0</v>
      </c>
      <c r="C83">
        <f>SUMIFS(Targets!$D$5:$D$80,Targets!$A$5:$A$80,A83,Targets!$B$5:$B$80,"New Service &amp; Resume Requests")</f>
        <v>2</v>
      </c>
      <c r="D83" s="12">
        <f>SUMPRODUCT(('NEW SERVICE &amp; RESUME REQUESTS'!$F$4:$F$995=A83)*('NEW SERVICE &amp; RESUME REQUESTS'!$C$4:$C$995="New Service &amp; Resume Requests")*(($C$3="All")+(MONTH('NEW SERVICE &amp; RESUME REQUESTS'!$G$4:$G$995)=IF($C$3="July",7,IF($C$3="August",8,0))))*'NEW SERVICE &amp; RESUME REQUESTS'!$E$4:$E$995)</f>
        <v>0</v>
      </c>
      <c r="N83" s="6"/>
      <c r="O83" s="6"/>
    </row>
    <row r="84" spans="1:15" ht="15" customHeight="1">
      <c r="A84" s="4" t="s">
        <v>25</v>
      </c>
      <c r="B84">
        <f>SUMPRODUCT(('NEW SERVICE &amp; RESUME REQUESTS'!$F$4:$F$995=A84)*('NEW SERVICE &amp; RESUME REQUESTS'!$C$4:$C$995="New Service &amp; Resume Requests")*(($C$3="All")+(MONTH('NEW SERVICE &amp; RESUME REQUESTS'!$G$4:$G$995)=IF($C$3="July",7,IF($C$3="August",8,0)))))</f>
        <v>0</v>
      </c>
      <c r="C84">
        <f>SUMIFS(Targets!$D$5:$D$80,Targets!$A$5:$A$80,A84,Targets!$B$5:$B$80,"New Service &amp; Resume Requests")</f>
        <v>2</v>
      </c>
      <c r="D84" s="12">
        <f>SUMPRODUCT(('NEW SERVICE &amp; RESUME REQUESTS'!$F$4:$F$995=A84)*('NEW SERVICE &amp; RESUME REQUESTS'!$C$4:$C$995="New Service &amp; Resume Requests")*(($C$3="All")+(MONTH('NEW SERVICE &amp; RESUME REQUESTS'!$G$4:$G$995)=IF($C$3="July",7,IF($C$3="August",8,0))))*'NEW SERVICE &amp; RESUME REQUESTS'!$E$4:$E$995)</f>
        <v>0</v>
      </c>
      <c r="N84" s="6"/>
      <c r="O84" s="6"/>
    </row>
    <row r="85" spans="1:15" ht="15" customHeight="1">
      <c r="A85" s="4" t="s">
        <v>26</v>
      </c>
      <c r="B85">
        <f>SUMPRODUCT(('NEW SERVICE &amp; RESUME REQUESTS'!$F$4:$F$995=A85)*('NEW SERVICE &amp; RESUME REQUESTS'!$C$4:$C$995="New Service &amp; Resume Requests")*(($C$3="All")+(MONTH('NEW SERVICE &amp; RESUME REQUESTS'!$G$4:$G$995)=IF($C$3="July",7,IF($C$3="August",8,0)))))</f>
        <v>0</v>
      </c>
      <c r="C85">
        <f>SUMIFS(Targets!$D$5:$D$80,Targets!$A$5:$A$80,A85,Targets!$B$5:$B$80,"New Service &amp; Resume Requests")</f>
        <v>1</v>
      </c>
      <c r="D85" s="12">
        <f>SUMPRODUCT(('NEW SERVICE &amp; RESUME REQUESTS'!$F$4:$F$995=A85)*('NEW SERVICE &amp; RESUME REQUESTS'!$C$4:$C$995="New Service &amp; Resume Requests")*(($C$3="All")+(MONTH('NEW SERVICE &amp; RESUME REQUESTS'!$G$4:$G$995)=IF($C$3="July",7,IF($C$3="August",8,0))))*'NEW SERVICE &amp; RESUME REQUESTS'!$E$4:$E$995)</f>
        <v>0</v>
      </c>
      <c r="N85" s="6"/>
      <c r="O85" s="6"/>
    </row>
    <row r="86" spans="1:15" ht="15" customHeight="1">
      <c r="A86" s="4" t="s">
        <v>27</v>
      </c>
      <c r="B86">
        <f>SUMPRODUCT(('NEW SERVICE &amp; RESUME REQUESTS'!$F$4:$F$995=A86)*('NEW SERVICE &amp; RESUME REQUESTS'!$C$4:$C$995="New Service &amp; Resume Requests")*(($C$3="All")+(MONTH('NEW SERVICE &amp; RESUME REQUESTS'!$G$4:$G$995)=IF($C$3="July",7,IF($C$3="August",8,0)))))</f>
        <v>0</v>
      </c>
      <c r="C86">
        <f>SUMIFS(Targets!$D$5:$D$80,Targets!$A$5:$A$80,A86,Targets!$B$5:$B$80,"New Service &amp; Resume Requests")</f>
        <v>1</v>
      </c>
      <c r="D86" s="12">
        <f>SUMPRODUCT(('NEW SERVICE &amp; RESUME REQUESTS'!$F$4:$F$995=A86)*('NEW SERVICE &amp; RESUME REQUESTS'!$C$4:$C$995="New Service &amp; Resume Requests")*(($C$3="All")+(MONTH('NEW SERVICE &amp; RESUME REQUESTS'!$G$4:$G$995)=IF($C$3="July",7,IF($C$3="August",8,0))))*'NEW SERVICE &amp; RESUME REQUESTS'!$E$4:$E$995)</f>
        <v>0</v>
      </c>
      <c r="N86" s="6"/>
      <c r="O86" s="6"/>
    </row>
    <row r="87" spans="1:15" ht="15" customHeight="1">
      <c r="A87" s="4" t="s">
        <v>28</v>
      </c>
      <c r="B87">
        <f>SUMPRODUCT(('NEW SERVICE &amp; RESUME REQUESTS'!$F$4:$F$995=A87)*('NEW SERVICE &amp; RESUME REQUESTS'!$C$4:$C$995="New Service &amp; Resume Requests")*(($C$3="All")+(MONTH('NEW SERVICE &amp; RESUME REQUESTS'!$G$4:$G$995)=IF($C$3="July",7,IF($C$3="August",8,0)))))</f>
        <v>1</v>
      </c>
      <c r="C87">
        <f>SUMIFS(Targets!$D$5:$D$80,Targets!$A$5:$A$80,A87,Targets!$B$5:$B$80,"New Service &amp; Resume Requests")</f>
        <v>3</v>
      </c>
      <c r="D87" s="12">
        <f>SUMPRODUCT(('NEW SERVICE &amp; RESUME REQUESTS'!$F$4:$F$995=A87)*('NEW SERVICE &amp; RESUME REQUESTS'!$C$4:$C$995="New Service &amp; Resume Requests")*(($C$3="All")+(MONTH('NEW SERVICE &amp; RESUME REQUESTS'!$G$4:$G$995)=IF($C$3="July",7,IF($C$3="August",8,0))))*'NEW SERVICE &amp; RESUME REQUESTS'!$E$4:$E$995)</f>
        <v>325.56</v>
      </c>
      <c r="N87" s="6"/>
      <c r="O87" s="6"/>
    </row>
    <row r="88" spans="1:15" ht="15" customHeight="1">
      <c r="A88" s="4" t="s">
        <v>29</v>
      </c>
      <c r="B88">
        <f>SUMPRODUCT(('NEW SERVICE &amp; RESUME REQUESTS'!$F$4:$F$995=A88)*('NEW SERVICE &amp; RESUME REQUESTS'!$C$4:$C$995="New Service &amp; Resume Requests")*(($C$3="All")+(MONTH('NEW SERVICE &amp; RESUME REQUESTS'!$G$4:$G$995)=IF($C$3="July",7,IF($C$3="August",8,0)))))</f>
        <v>0</v>
      </c>
      <c r="C88">
        <f>SUMIFS(Targets!$D$5:$D$80,Targets!$A$5:$A$80,A88,Targets!$B$5:$B$80,"New Service &amp; Resume Requests")</f>
        <v>1</v>
      </c>
      <c r="D88" s="12">
        <f>SUMPRODUCT(('NEW SERVICE &amp; RESUME REQUESTS'!$F$4:$F$995=A88)*('NEW SERVICE &amp; RESUME REQUESTS'!$C$4:$C$995="New Service &amp; Resume Requests")*(($C$3="All")+(MONTH('NEW SERVICE &amp; RESUME REQUESTS'!$G$4:$G$995)=IF($C$3="July",7,IF($C$3="August",8,0))))*'NEW SERVICE &amp; RESUME REQUESTS'!$E$4:$E$995)</f>
        <v>0</v>
      </c>
      <c r="N88" s="6"/>
      <c r="O88" s="6"/>
    </row>
    <row r="89" spans="1:15" ht="15" customHeight="1">
      <c r="A89" s="4" t="s">
        <v>30</v>
      </c>
      <c r="B89">
        <f>SUMPRODUCT(('NEW SERVICE &amp; RESUME REQUESTS'!$F$4:$F$995=A89)*('NEW SERVICE &amp; RESUME REQUESTS'!$C$4:$C$995="New Service &amp; Resume Requests")*(($C$3="All")+(MONTH('NEW SERVICE &amp; RESUME REQUESTS'!$G$4:$G$995)=IF($C$3="July",7,IF($C$3="August",8,0)))))</f>
        <v>1</v>
      </c>
      <c r="C89">
        <f>SUMIFS(Targets!$D$5:$D$80,Targets!$A$5:$A$80,A89,Targets!$B$5:$B$80,"New Service &amp; Resume Requests")</f>
        <v>8</v>
      </c>
      <c r="D89" s="12">
        <f>SUMPRODUCT(('NEW SERVICE &amp; RESUME REQUESTS'!$F$4:$F$995=A89)*('NEW SERVICE &amp; RESUME REQUESTS'!$C$4:$C$995="New Service &amp; Resume Requests")*(($C$3="All")+(MONTH('NEW SERVICE &amp; RESUME REQUESTS'!$G$4:$G$995)=IF($C$3="July",7,IF($C$3="August",8,0))))*'NEW SERVICE &amp; RESUME REQUESTS'!$E$4:$E$995)</f>
        <v>126.92</v>
      </c>
      <c r="N89" s="6"/>
      <c r="O89" s="6"/>
    </row>
    <row r="90" spans="1:15" ht="15" customHeight="1">
      <c r="A90" s="4" t="s">
        <v>31</v>
      </c>
      <c r="B90">
        <f>SUMPRODUCT(('NEW SERVICE &amp; RESUME REQUESTS'!$F$4:$F$995=A90)*('NEW SERVICE &amp; RESUME REQUESTS'!$C$4:$C$995="New Service &amp; Resume Requests")*(($C$3="All")+(MONTH('NEW SERVICE &amp; RESUME REQUESTS'!$G$4:$G$995)=IF($C$3="July",7,IF($C$3="August",8,0)))))</f>
        <v>1</v>
      </c>
      <c r="C90">
        <f>SUMIFS(Targets!$D$5:$D$80,Targets!$A$5:$A$80,A90,Targets!$B$5:$B$80,"New Service &amp; Resume Requests")</f>
        <v>8</v>
      </c>
      <c r="D90" s="12">
        <f>SUMPRODUCT(('NEW SERVICE &amp; RESUME REQUESTS'!$F$4:$F$995=A90)*('NEW SERVICE &amp; RESUME REQUESTS'!$C$4:$C$995="New Service &amp; Resume Requests")*(($C$3="All")+(MONTH('NEW SERVICE &amp; RESUME REQUESTS'!$G$4:$G$995)=IF($C$3="July",7,IF($C$3="August",8,0))))*'NEW SERVICE &amp; RESUME REQUESTS'!$E$4:$E$995)</f>
        <v>190.38</v>
      </c>
      <c r="N90" s="6"/>
      <c r="O90" s="6"/>
    </row>
    <row r="91" spans="1:15" ht="15" customHeight="1">
      <c r="A91" s="4" t="s">
        <v>32</v>
      </c>
      <c r="B91">
        <f>SUMPRODUCT(('NEW SERVICE &amp; RESUME REQUESTS'!$F$4:$F$995=A91)*('NEW SERVICE &amp; RESUME REQUESTS'!$C$4:$C$995="New Service &amp; Resume Requests")*(($C$3="All")+(MONTH('NEW SERVICE &amp; RESUME REQUESTS'!$G$4:$G$995)=IF($C$3="July",7,IF($C$3="August",8,0)))))</f>
        <v>3</v>
      </c>
      <c r="C91">
        <f>SUMIFS(Targets!$D$5:$D$80,Targets!$A$5:$A$80,A91,Targets!$B$5:$B$80,"New Service &amp; Resume Requests")</f>
        <v>8</v>
      </c>
      <c r="D91" s="12">
        <f>SUMPRODUCT(('NEW SERVICE &amp; RESUME REQUESTS'!$F$4:$F$995=A91)*('NEW SERVICE &amp; RESUME REQUESTS'!$C$4:$C$995="New Service &amp; Resume Requests")*(($C$3="All")+(MONTH('NEW SERVICE &amp; RESUME REQUESTS'!$G$4:$G$995)=IF($C$3="July",7,IF($C$3="August",8,0))))*'NEW SERVICE &amp; RESUME REQUESTS'!$E$4:$E$995)</f>
        <v>761.52</v>
      </c>
      <c r="N91" s="6"/>
      <c r="O91" s="6"/>
    </row>
    <row r="92" spans="1:15" ht="15" customHeight="1">
      <c r="A92" s="4" t="s">
        <v>33</v>
      </c>
      <c r="B92">
        <f>SUMPRODUCT(('NEW SERVICE &amp; RESUME REQUESTS'!$F$4:$F$995=A92)*('NEW SERVICE &amp; RESUME REQUESTS'!$C$4:$C$995="New Service &amp; Resume Requests")*(($C$3="All")+(MONTH('NEW SERVICE &amp; RESUME REQUESTS'!$G$4:$G$995)=IF($C$3="July",7,IF($C$3="August",8,0)))))</f>
        <v>1</v>
      </c>
      <c r="C92">
        <f>SUMIFS(Targets!$D$5:$D$80,Targets!$A$5:$A$80,A92,Targets!$B$5:$B$80,"New Service &amp; Resume Requests")</f>
        <v>8</v>
      </c>
      <c r="D92" s="12">
        <f>SUMPRODUCT(('NEW SERVICE &amp; RESUME REQUESTS'!$F$4:$F$995=A92)*('NEW SERVICE &amp; RESUME REQUESTS'!$C$4:$C$995="New Service &amp; Resume Requests")*(($C$3="All")+(MONTH('NEW SERVICE &amp; RESUME REQUESTS'!$G$4:$G$995)=IF($C$3="July",7,IF($C$3="August",8,0))))*'NEW SERVICE &amp; RESUME REQUESTS'!$E$4:$E$995)</f>
        <v>95.19</v>
      </c>
      <c r="N92" s="6"/>
      <c r="O92" s="6"/>
    </row>
    <row r="93" spans="1:15" ht="15" customHeight="1">
      <c r="A93" s="4" t="s">
        <v>34</v>
      </c>
      <c r="B93">
        <f>SUMPRODUCT(('NEW SERVICE &amp; RESUME REQUESTS'!$F$4:$F$995=A93)*('NEW SERVICE &amp; RESUME REQUESTS'!$C$4:$C$995="New Service &amp; Resume Requests")*(($C$3="All")+(MONTH('NEW SERVICE &amp; RESUME REQUESTS'!$G$4:$G$995)=IF($C$3="July",7,IF($C$3="August",8,0)))))</f>
        <v>1</v>
      </c>
      <c r="C93">
        <f>SUMIFS(Targets!$D$5:$D$80,Targets!$A$5:$A$80,A93,Targets!$B$5:$B$80,"New Service &amp; Resume Requests")</f>
        <v>8</v>
      </c>
      <c r="D93" s="12">
        <f>SUMPRODUCT(('NEW SERVICE &amp; RESUME REQUESTS'!$F$4:$F$995=A93)*('NEW SERVICE &amp; RESUME REQUESTS'!$C$4:$C$995="New Service &amp; Resume Requests")*(($C$3="All")+(MONTH('NEW SERVICE &amp; RESUME REQUESTS'!$G$4:$G$995)=IF($C$3="July",7,IF($C$3="August",8,0))))*'NEW SERVICE &amp; RESUME REQUESTS'!$E$4:$E$995)</f>
        <v>190.38</v>
      </c>
      <c r="N93" s="6"/>
      <c r="O93" s="6"/>
    </row>
    <row r="94" spans="1:15" ht="15" customHeight="1">
      <c r="A94" s="4" t="s">
        <v>35</v>
      </c>
      <c r="B94">
        <f>SUMPRODUCT(('NEW SERVICE &amp; RESUME REQUESTS'!$F$4:$F$995=A94)*('NEW SERVICE &amp; RESUME REQUESTS'!$C$4:$C$995="New Service &amp; Resume Requests")*(($C$3="All")+(MONTH('NEW SERVICE &amp; RESUME REQUESTS'!$G$4:$G$995)=IF($C$3="July",7,IF($C$3="August",8,0)))))</f>
        <v>3</v>
      </c>
      <c r="C94">
        <f>SUMIFS(Targets!$D$5:$D$80,Targets!$A$5:$A$80,A94,Targets!$B$5:$B$80,"New Service &amp; Resume Requests")</f>
        <v>0</v>
      </c>
      <c r="D94" s="12">
        <f>SUMPRODUCT(('NEW SERVICE &amp; RESUME REQUESTS'!$F$4:$F$995=A94)*('NEW SERVICE &amp; RESUME REQUESTS'!$C$4:$C$995="New Service &amp; Resume Requests")*(($C$3="All")+(MONTH('NEW SERVICE &amp; RESUME REQUESTS'!$G$4:$G$995)=IF($C$3="July",7,IF($C$3="August",8,0))))*'NEW SERVICE &amp; RESUME REQUESTS'!$E$4:$E$995)</f>
        <v>634.6</v>
      </c>
      <c r="N94" s="6"/>
      <c r="O94" s="6"/>
    </row>
    <row r="95" spans="1:15" ht="15" customHeight="1">
      <c r="A95" s="4" t="s">
        <v>36</v>
      </c>
      <c r="B95">
        <f>SUMPRODUCT(('NEW SERVICE &amp; RESUME REQUESTS'!$F$4:$F$995=A95)*('NEW SERVICE &amp; RESUME REQUESTS'!$C$4:$C$995="New Service &amp; Resume Requests")*(($C$3="All")+(MONTH('NEW SERVICE &amp; RESUME REQUESTS'!$G$4:$G$995)=IF($C$3="July",7,IF($C$3="August",8,0)))))</f>
        <v>0</v>
      </c>
      <c r="C95">
        <f>SUMIFS(Targets!$D$5:$D$80,Targets!$A$5:$A$80,A95,Targets!$B$5:$B$80,"New Service &amp; Resume Requests")</f>
        <v>0</v>
      </c>
      <c r="D95" s="12">
        <f>SUMPRODUCT(('NEW SERVICE &amp; RESUME REQUESTS'!$F$4:$F$995=A95)*('NEW SERVICE &amp; RESUME REQUESTS'!$C$4:$C$995="New Service &amp; Resume Requests")*(($C$3="All")+(MONTH('NEW SERVICE &amp; RESUME REQUESTS'!$G$4:$G$995)=IF($C$3="July",7,IF($C$3="August",8,0))))*'NEW SERVICE &amp; RESUME REQUESTS'!$E$4:$E$995)</f>
        <v>0</v>
      </c>
      <c r="N95" s="6"/>
      <c r="O95" s="6"/>
    </row>
    <row r="96" spans="1:15" ht="15" customHeight="1">
      <c r="A96" s="4" t="s">
        <v>37</v>
      </c>
      <c r="B96">
        <f>SUMPRODUCT(('NEW SERVICE &amp; RESUME REQUESTS'!$F$4:$F$995=A96)*('NEW SERVICE &amp; RESUME REQUESTS'!$C$4:$C$995="New Service &amp; Resume Requests")*(($C$3="All")+(MONTH('NEW SERVICE &amp; RESUME REQUESTS'!$G$4:$G$995)=IF($C$3="July",7,IF($C$3="August",8,0)))))</f>
        <v>0</v>
      </c>
      <c r="C96">
        <f>SUMIFS(Targets!$D$5:$D$80,Targets!$A$5:$A$80,A96,Targets!$B$5:$B$80,"New Service &amp; Resume Requests")</f>
        <v>9</v>
      </c>
      <c r="D96" s="12">
        <f>SUMPRODUCT(('NEW SERVICE &amp; RESUME REQUESTS'!$F$4:$F$995=A96)*('NEW SERVICE &amp; RESUME REQUESTS'!$C$4:$C$995="New Service &amp; Resume Requests")*(($C$3="All")+(MONTH('NEW SERVICE &amp; RESUME REQUESTS'!$G$4:$G$995)=IF($C$3="July",7,IF($C$3="August",8,0))))*'NEW SERVICE &amp; RESUME REQUESTS'!$E$4:$E$995)</f>
        <v>0</v>
      </c>
      <c r="N96" s="8"/>
      <c r="O96" s="8"/>
    </row>
    <row r="97" spans="1:15" ht="15" customHeight="1">
      <c r="A97" s="4" t="s">
        <v>38</v>
      </c>
      <c r="B97">
        <f>SUMPRODUCT(('NEW SERVICE &amp; RESUME REQUESTS'!$F$4:$F$995=A97)*('NEW SERVICE &amp; RESUME REQUESTS'!$C$4:$C$995="New Service &amp; Resume Requests")*(($C$3="All")+(MONTH('NEW SERVICE &amp; RESUME REQUESTS'!$G$4:$G$995)=IF($C$3="July",7,IF($C$3="August",8,0)))))</f>
        <v>0</v>
      </c>
      <c r="C97">
        <f>SUMIFS(Targets!$D$5:$D$80,Targets!$A$5:$A$80,A97,Targets!$B$5:$B$80,"New Service &amp; Resume Requests")</f>
        <v>3</v>
      </c>
      <c r="D97" s="12">
        <f>SUMPRODUCT(('NEW SERVICE &amp; RESUME REQUESTS'!$F$4:$F$995=A97)*('NEW SERVICE &amp; RESUME REQUESTS'!$C$4:$C$995="New Service &amp; Resume Requests")*(($C$3="All")+(MONTH('NEW SERVICE &amp; RESUME REQUESTS'!$G$4:$G$995)=IF($C$3="July",7,IF($C$3="August",8,0))))*'NEW SERVICE &amp; RESUME REQUESTS'!$E$4:$E$995)</f>
        <v>0</v>
      </c>
      <c r="N97" s="6"/>
      <c r="O97" s="6"/>
    </row>
    <row r="98" spans="1:15" ht="15" customHeight="1">
      <c r="A98" s="4" t="s">
        <v>39</v>
      </c>
      <c r="B98">
        <f>SUMPRODUCT(('NEW SERVICE &amp; RESUME REQUESTS'!$F$4:$F$995=A98)*('NEW SERVICE &amp; RESUME REQUESTS'!$C$4:$C$995="New Service &amp; Resume Requests")*(($C$3="All")+(MONTH('NEW SERVICE &amp; RESUME REQUESTS'!$G$4:$G$995)=IF($C$3="July",7,IF($C$3="August",8,0)))))</f>
        <v>9</v>
      </c>
      <c r="C98">
        <f>SUMIFS(Targets!$D$5:$D$80,Targets!$A$5:$A$80,A98,Targets!$B$5:$B$80,"New Service &amp; Resume Requests")</f>
        <v>45</v>
      </c>
      <c r="D98" s="12">
        <f>SUMPRODUCT(('NEW SERVICE &amp; RESUME REQUESTS'!$F$4:$F$995=A98)*('NEW SERVICE &amp; RESUME REQUESTS'!$C$4:$C$995="New Service &amp; Resume Requests")*(($C$3="All")+(MONTH('NEW SERVICE &amp; RESUME REQUESTS'!$G$4:$G$995)=IF($C$3="July",7,IF($C$3="August",8,0))))*'NEW SERVICE &amp; RESUME REQUESTS'!$E$4:$E$995)</f>
        <v>2030.72</v>
      </c>
      <c r="N98" s="6"/>
      <c r="O98" s="6"/>
    </row>
    <row r="99" spans="1:15" ht="15" customHeight="1">
      <c r="A99" s="4" t="s">
        <v>40</v>
      </c>
      <c r="B99">
        <f>SUMPRODUCT(('NEW SERVICE &amp; RESUME REQUESTS'!$F$4:$F$995=A99)*('NEW SERVICE &amp; RESUME REQUESTS'!$C$4:$C$995="New Service &amp; Resume Requests")*(($C$3="All")+(MONTH('NEW SERVICE &amp; RESUME REQUESTS'!$G$4:$G$995)=IF($C$3="July",7,IF($C$3="August",8,0)))))</f>
        <v>0</v>
      </c>
      <c r="C99">
        <f>SUMIFS(Targets!$D$5:$D$80,Targets!$A$5:$A$80,A99,Targets!$B$5:$B$80,"New Service &amp; Resume Requests")</f>
        <v>0</v>
      </c>
      <c r="D99" s="12">
        <f>SUMPRODUCT(('NEW SERVICE &amp; RESUME REQUESTS'!$F$4:$F$995=A99)*('NEW SERVICE &amp; RESUME REQUESTS'!$C$4:$C$995="New Service &amp; Resume Requests")*(($C$3="All")+(MONTH('NEW SERVICE &amp; RESUME REQUESTS'!$G$4:$G$995)=IF($C$3="July",7,IF($C$3="August",8,0))))*'NEW SERVICE &amp; RESUME REQUESTS'!$E$4:$E$995)</f>
        <v>0</v>
      </c>
      <c r="N99" s="6"/>
      <c r="O99" s="6"/>
    </row>
    <row r="100" spans="1:15" ht="15" customHeight="1">
      <c r="A100" s="4" t="s">
        <v>41</v>
      </c>
      <c r="B100">
        <f>SUMPRODUCT(('NEW SERVICE &amp; RESUME REQUESTS'!$F$4:$F$995=A100)*('NEW SERVICE &amp; RESUME REQUESTS'!$C$4:$C$995="New Service &amp; Resume Requests")*(($C$3="All")+(MONTH('NEW SERVICE &amp; RESUME REQUESTS'!$G$4:$G$995)=IF($C$3="July",7,IF($C$3="August",8,0)))))</f>
        <v>0</v>
      </c>
      <c r="C100">
        <f>SUMIFS(Targets!$D$5:$D$80,Targets!$A$5:$A$80,A100,Targets!$B$5:$B$80,"New Service &amp; Resume Requests")</f>
        <v>0</v>
      </c>
      <c r="D100" s="12">
        <f>SUMPRODUCT(('NEW SERVICE &amp; RESUME REQUESTS'!$F$4:$F$995=A100)*('NEW SERVICE &amp; RESUME REQUESTS'!$C$4:$C$995="New Service &amp; Resume Requests")*(($C$3="All")+(MONTH('NEW SERVICE &amp; RESUME REQUESTS'!$G$4:$G$995)=IF($C$3="July",7,IF($C$3="August",8,0))))*'NEW SERVICE &amp; RESUME REQUESTS'!$E$4:$E$995)</f>
        <v>0</v>
      </c>
      <c r="N100" s="6"/>
      <c r="O100" s="6"/>
    </row>
    <row r="101" spans="1:15" ht="15" customHeight="1">
      <c r="A101" s="4" t="s">
        <v>42</v>
      </c>
      <c r="B101">
        <f>SUMPRODUCT(('NEW SERVICE &amp; RESUME REQUESTS'!$F$4:$F$995=A101)*('NEW SERVICE &amp; RESUME REQUESTS'!$C$4:$C$995="New Service &amp; Resume Requests")*(($C$3="All")+(MONTH('NEW SERVICE &amp; RESUME REQUESTS'!$G$4:$G$995)=IF($C$3="July",7,IF($C$3="August",8,0)))))</f>
        <v>0</v>
      </c>
      <c r="C101">
        <f>SUMIFS(Targets!$D$5:$D$80,Targets!$A$5:$A$80,A101,Targets!$B$5:$B$80,"New Service &amp; Resume Requests")</f>
        <v>0</v>
      </c>
      <c r="D101" s="12">
        <f>SUMPRODUCT(('NEW SERVICE &amp; RESUME REQUESTS'!$F$4:$F$995=A101)*('NEW SERVICE &amp; RESUME REQUESTS'!$C$4:$C$995="New Service &amp; Resume Requests")*(($C$3="All")+(MONTH('NEW SERVICE &amp; RESUME REQUESTS'!$G$4:$G$995)=IF($C$3="July",7,IF($C$3="August",8,0))))*'NEW SERVICE &amp; RESUME REQUESTS'!$E$4:$E$995)</f>
        <v>0</v>
      </c>
      <c r="N101" s="6"/>
      <c r="O101" s="6"/>
    </row>
    <row r="102" spans="1:15" ht="15" customHeight="1">
      <c r="A102" s="4" t="s">
        <v>43</v>
      </c>
      <c r="B102">
        <f>SUMPRODUCT(('NEW SERVICE &amp; RESUME REQUESTS'!$F$4:$F$995=A102)*('NEW SERVICE &amp; RESUME REQUESTS'!$C$4:$C$995="New Service &amp; Resume Requests")*(($C$3="All")+(MONTH('NEW SERVICE &amp; RESUME REQUESTS'!$G$4:$G$995)=IF($C$3="July",7,IF($C$3="August",8,0)))))</f>
        <v>0</v>
      </c>
      <c r="C102">
        <f>SUMIFS(Targets!$D$5:$D$80,Targets!$A$5:$A$80,A102,Targets!$B$5:$B$80,"New Service &amp; Resume Requests")</f>
        <v>0</v>
      </c>
      <c r="D102" s="12">
        <f>SUMPRODUCT(('NEW SERVICE &amp; RESUME REQUESTS'!$F$4:$F$995=A102)*('NEW SERVICE &amp; RESUME REQUESTS'!$C$4:$C$995="New Service &amp; Resume Requests")*(($C$3="All")+(MONTH('NEW SERVICE &amp; RESUME REQUESTS'!$G$4:$G$995)=IF($C$3="July",7,IF($C$3="August",8,0))))*'NEW SERVICE &amp; RESUME REQUESTS'!$E$4:$E$995)</f>
        <v>0</v>
      </c>
      <c r="N102" s="6"/>
      <c r="O102" s="6"/>
    </row>
    <row r="103" spans="1:15" ht="15" customHeight="1">
      <c r="A103" s="4" t="s">
        <v>44</v>
      </c>
      <c r="B103">
        <f>SUMPRODUCT(('NEW SERVICE &amp; RESUME REQUESTS'!$F$4:$F$995=A103)*('NEW SERVICE &amp; RESUME REQUESTS'!$C$4:$C$995="New Service &amp; Resume Requests")*(($C$3="All")+(MONTH('NEW SERVICE &amp; RESUME REQUESTS'!$G$4:$G$995)=IF($C$3="July",7,IF($C$3="August",8,0)))))</f>
        <v>0</v>
      </c>
      <c r="C103">
        <f>SUMIFS(Targets!$D$5:$D$80,Targets!$A$5:$A$80,A103,Targets!$B$5:$B$80,"New Service &amp; Resume Requests")</f>
        <v>0</v>
      </c>
      <c r="D103" s="12">
        <f>SUMPRODUCT(('NEW SERVICE &amp; RESUME REQUESTS'!$F$4:$F$995=A103)*('NEW SERVICE &amp; RESUME REQUESTS'!$C$4:$C$995="New Service &amp; Resume Requests")*(($C$3="All")+(MONTH('NEW SERVICE &amp; RESUME REQUESTS'!$G$4:$G$995)=IF($C$3="July",7,IF($C$3="August",8,0))))*'NEW SERVICE &amp; RESUME REQUESTS'!$E$4:$E$995)</f>
        <v>0</v>
      </c>
      <c r="N103" s="6"/>
      <c r="O103" s="6"/>
    </row>
    <row r="104" spans="1:15" ht="15" customHeight="1">
      <c r="A104" s="4" t="s">
        <v>45</v>
      </c>
      <c r="B104">
        <f>SUMPRODUCT(('NEW SERVICE &amp; RESUME REQUESTS'!$F$4:$F$995=A104)*('NEW SERVICE &amp; RESUME REQUESTS'!$C$4:$C$995="New Service &amp; Resume Requests")*(($C$3="All")+(MONTH('NEW SERVICE &amp; RESUME REQUESTS'!$G$4:$G$995)=IF($C$3="July",7,IF($C$3="August",8,0)))))</f>
        <v>2</v>
      </c>
      <c r="C104">
        <f>SUMIFS(Targets!$D$5:$D$80,Targets!$A$5:$A$80,A104,Targets!$B$5:$B$80,"New Service &amp; Resume Requests")</f>
        <v>0</v>
      </c>
      <c r="D104" s="12">
        <f>SUMPRODUCT(('NEW SERVICE &amp; RESUME REQUESTS'!$F$4:$F$995=A104)*('NEW SERVICE &amp; RESUME REQUESTS'!$C$4:$C$995="New Service &amp; Resume Requests")*(($C$3="All")+(MONTH('NEW SERVICE &amp; RESUME REQUESTS'!$G$4:$G$995)=IF($C$3="July",7,IF($C$3="August",8,0))))*'NEW SERVICE &amp; RESUME REQUESTS'!$E$4:$E$995)</f>
        <v>527.44000000000005</v>
      </c>
      <c r="N104" s="6"/>
      <c r="O104" s="6"/>
    </row>
    <row r="105" spans="1:15" ht="15" customHeight="1">
      <c r="A105" s="4" t="s">
        <v>46</v>
      </c>
      <c r="B105">
        <f>SUMPRODUCT(('NEW SERVICE &amp; RESUME REQUESTS'!$F$4:$F$995=A105)*('NEW SERVICE &amp; RESUME REQUESTS'!$C$4:$C$995="New Service &amp; Resume Requests")*(($C$3="All")+(MONTH('NEW SERVICE &amp; RESUME REQUESTS'!$G$4:$G$995)=IF($C$3="July",7,IF($C$3="August",8,0)))))</f>
        <v>4</v>
      </c>
      <c r="C105">
        <f>SUMIFS(Targets!$D$5:$D$80,Targets!$A$5:$A$80,A105,Targets!$B$5:$B$80,"New Service &amp; Resume Requests")</f>
        <v>13</v>
      </c>
      <c r="D105" s="12">
        <f>SUMPRODUCT(('NEW SERVICE &amp; RESUME REQUESTS'!$F$4:$F$995=A105)*('NEW SERVICE &amp; RESUME REQUESTS'!$C$4:$C$995="New Service &amp; Resume Requests")*(($C$3="All")+(MONTH('NEW SERVICE &amp; RESUME REQUESTS'!$G$4:$G$995)=IF($C$3="July",7,IF($C$3="August",8,0))))*'NEW SERVICE &amp; RESUME REQUESTS'!$E$4:$E$995)</f>
        <v>512.62</v>
      </c>
      <c r="N105" s="6"/>
      <c r="O105" s="6"/>
    </row>
    <row r="106" spans="1:15" ht="15" customHeight="1">
      <c r="A106" s="4" t="s">
        <v>47</v>
      </c>
      <c r="B106">
        <f>SUMPRODUCT(('NEW SERVICE &amp; RESUME REQUESTS'!$F$4:$F$995=A106)*('NEW SERVICE &amp; RESUME REQUESTS'!$C$4:$C$995="New Service &amp; Resume Requests")*(($C$3="All")+(MONTH('NEW SERVICE &amp; RESUME REQUESTS'!$G$4:$G$995)=IF($C$3="July",7,IF($C$3="August",8,0)))))</f>
        <v>0</v>
      </c>
      <c r="C106">
        <f>SUMIFS(Targets!$D$5:$D$80,Targets!$A$5:$A$80,A106,Targets!$B$5:$B$80,"New Service &amp; Resume Requests")</f>
        <v>0</v>
      </c>
      <c r="D106" s="12">
        <f>SUMPRODUCT(('NEW SERVICE &amp; RESUME REQUESTS'!$F$4:$F$995=A106)*('NEW SERVICE &amp; RESUME REQUESTS'!$C$4:$C$995="New Service &amp; Resume Requests")*(($C$3="All")+(MONTH('NEW SERVICE &amp; RESUME REQUESTS'!$G$4:$G$995)=IF($C$3="July",7,IF($C$3="August",8,0))))*'NEW SERVICE &amp; RESUME REQUESTS'!$E$4:$E$995)</f>
        <v>0</v>
      </c>
      <c r="N106" s="6"/>
      <c r="O106" s="6"/>
    </row>
    <row r="107" spans="1:15" ht="15" customHeight="1">
      <c r="A107" s="4" t="s">
        <v>48</v>
      </c>
      <c r="B107">
        <f>SUMPRODUCT(('NEW SERVICE &amp; RESUME REQUESTS'!$F$4:$F$995=A107)*('NEW SERVICE &amp; RESUME REQUESTS'!$C$4:$C$995="New Service &amp; Resume Requests")*(($C$3="All")+(MONTH('NEW SERVICE &amp; RESUME REQUESTS'!$G$4:$G$995)=IF($C$3="July",7,IF($C$3="August",8,0)))))</f>
        <v>0</v>
      </c>
      <c r="C107">
        <f>SUMIFS(Targets!$D$5:$D$80,Targets!$A$5:$A$80,A107,Targets!$B$5:$B$80,"New Service &amp; Resume Requests")</f>
        <v>0</v>
      </c>
      <c r="D107" s="12">
        <f>SUMPRODUCT(('NEW SERVICE &amp; RESUME REQUESTS'!$F$4:$F$995=A107)*('NEW SERVICE &amp; RESUME REQUESTS'!$C$4:$C$995="New Service &amp; Resume Requests")*(($C$3="All")+(MONTH('NEW SERVICE &amp; RESUME REQUESTS'!$G$4:$G$995)=IF($C$3="July",7,IF($C$3="August",8,0))))*'NEW SERVICE &amp; RESUME REQUESTS'!$E$4:$E$995)</f>
        <v>0</v>
      </c>
      <c r="N107" s="6"/>
      <c r="O107" s="6"/>
    </row>
    <row r="108" spans="1:15" ht="15" customHeight="1">
      <c r="A108" s="4" t="s">
        <v>49</v>
      </c>
      <c r="B108">
        <f>SUMPRODUCT(('NEW SERVICE &amp; RESUME REQUESTS'!$F$4:$F$995=A108)*('NEW SERVICE &amp; RESUME REQUESTS'!$C$4:$C$995="New Service &amp; Resume Requests")*(($C$3="All")+(MONTH('NEW SERVICE &amp; RESUME REQUESTS'!$G$4:$G$995)=IF($C$3="July",7,IF($C$3="August",8,0)))))</f>
        <v>0</v>
      </c>
      <c r="C108">
        <f>SUMIFS(Targets!$D$5:$D$80,Targets!$A$5:$A$80,A108,Targets!$B$5:$B$80,"New Service &amp; Resume Requests")</f>
        <v>1</v>
      </c>
      <c r="D108" s="12">
        <f>SUMPRODUCT(('NEW SERVICE &amp; RESUME REQUESTS'!$F$4:$F$995=A108)*('NEW SERVICE &amp; RESUME REQUESTS'!$C$4:$C$995="New Service &amp; Resume Requests")*(($C$3="All")+(MONTH('NEW SERVICE &amp; RESUME REQUESTS'!$G$4:$G$995)=IF($C$3="July",7,IF($C$3="August",8,0))))*'NEW SERVICE &amp; RESUME REQUESTS'!$E$4:$E$995)</f>
        <v>0</v>
      </c>
      <c r="N108" s="6"/>
      <c r="O108" s="6"/>
    </row>
    <row r="109" spans="1:15" ht="15" customHeight="1">
      <c r="A109" s="4" t="s">
        <v>50</v>
      </c>
      <c r="B109">
        <f>SUMPRODUCT(('NEW SERVICE &amp; RESUME REQUESTS'!$F$4:$F$995=A109)*('NEW SERVICE &amp; RESUME REQUESTS'!$C$4:$C$995="New Service &amp; Resume Requests")*(($C$3="All")+(MONTH('NEW SERVICE &amp; RESUME REQUESTS'!$G$4:$G$995)=IF($C$3="July",7,IF($C$3="August",8,0)))))</f>
        <v>1</v>
      </c>
      <c r="C109">
        <f>SUMIFS(Targets!$D$5:$D$80,Targets!$A$5:$A$80,A109,Targets!$B$5:$B$80,"New Service &amp; Resume Requests")</f>
        <v>39</v>
      </c>
      <c r="D109" s="12">
        <f>SUMPRODUCT(('NEW SERVICE &amp; RESUME REQUESTS'!$F$4:$F$995=A109)*('NEW SERVICE &amp; RESUME REQUESTS'!$C$4:$C$995="New Service &amp; Resume Requests")*(($C$3="All")+(MONTH('NEW SERVICE &amp; RESUME REQUESTS'!$G$4:$G$995)=IF($C$3="July",7,IF($C$3="August",8,0))))*'NEW SERVICE &amp; RESUME REQUESTS'!$E$4:$E$995)</f>
        <v>263.72000000000003</v>
      </c>
      <c r="N109" s="6"/>
      <c r="O109" s="6"/>
    </row>
    <row r="110" spans="1:15" ht="15" customHeight="1">
      <c r="A110" s="4" t="s">
        <v>51</v>
      </c>
      <c r="B110">
        <f>SUMPRODUCT(('NEW SERVICE &amp; RESUME REQUESTS'!$F$4:$F$995=A110)*('NEW SERVICE &amp; RESUME REQUESTS'!$C$4:$C$995="New Service &amp; Resume Requests")*(($C$3="All")+(MONTH('NEW SERVICE &amp; RESUME REQUESTS'!$G$4:$G$995)=IF($C$3="July",7,IF($C$3="August",8,0)))))</f>
        <v>0</v>
      </c>
      <c r="C110">
        <f>SUMIFS(Targets!$D$5:$D$80,Targets!$A$5:$A$80,A110,Targets!$B$5:$B$80,"New Service &amp; Resume Requests")</f>
        <v>2</v>
      </c>
      <c r="D110" s="12">
        <f>SUMPRODUCT(('NEW SERVICE &amp; RESUME REQUESTS'!$F$4:$F$995=A110)*('NEW SERVICE &amp; RESUME REQUESTS'!$C$4:$C$995="New Service &amp; Resume Requests")*(($C$3="All")+(MONTH('NEW SERVICE &amp; RESUME REQUESTS'!$G$4:$G$995)=IF($C$3="July",7,IF($C$3="August",8,0))))*'NEW SERVICE &amp; RESUME REQUESTS'!$E$4:$E$995)</f>
        <v>0</v>
      </c>
      <c r="N110" s="6"/>
      <c r="O110" s="6"/>
    </row>
    <row r="111" spans="1:15" ht="15" customHeight="1">
      <c r="A111" s="4" t="s">
        <v>52</v>
      </c>
      <c r="B111">
        <f>SUMPRODUCT(('NEW SERVICE &amp; RESUME REQUESTS'!$F$4:$F$995=A111)*('NEW SERVICE &amp; RESUME REQUESTS'!$C$4:$C$995="New Service &amp; Resume Requests")*(($C$3="All")+(MONTH('NEW SERVICE &amp; RESUME REQUESTS'!$G$4:$G$995)=IF($C$3="July",7,IF($C$3="August",8,0)))))</f>
        <v>2</v>
      </c>
      <c r="C111">
        <f>SUMIFS(Targets!$D$5:$D$80,Targets!$A$5:$A$80,A111,Targets!$B$5:$B$80,"New Service &amp; Resume Requests")</f>
        <v>0</v>
      </c>
      <c r="D111" s="12">
        <f>SUMPRODUCT(('NEW SERVICE &amp; RESUME REQUESTS'!$F$4:$F$995=A111)*('NEW SERVICE &amp; RESUME REQUESTS'!$C$4:$C$995="New Service &amp; Resume Requests")*(($C$3="All")+(MONTH('NEW SERVICE &amp; RESUME REQUESTS'!$G$4:$G$995)=IF($C$3="July",7,IF($C$3="August",8,0))))*'NEW SERVICE &amp; RESUME REQUESTS'!$E$4:$E$995)</f>
        <v>1318.6</v>
      </c>
      <c r="N111" s="6"/>
      <c r="O111" s="6"/>
    </row>
    <row r="112" spans="1:15" ht="15" customHeight="1">
      <c r="A112" s="4" t="s">
        <v>53</v>
      </c>
      <c r="B112">
        <f>SUMPRODUCT(('NEW SERVICE &amp; RESUME REQUESTS'!$F$4:$F$995=A112)*('NEW SERVICE &amp; RESUME REQUESTS'!$C$4:$C$995="New Service &amp; Resume Requests")*(($C$3="All")+(MONTH('NEW SERVICE &amp; RESUME REQUESTS'!$G$4:$G$995)=IF($C$3="July",7,IF($C$3="August",8,0)))))</f>
        <v>0</v>
      </c>
      <c r="C112">
        <f>SUMIFS(Targets!$D$5:$D$80,Targets!$A$5:$A$80,A112,Targets!$B$5:$B$80,"New Service &amp; Resume Requests")</f>
        <v>0</v>
      </c>
      <c r="D112" s="12">
        <f>SUMPRODUCT(('NEW SERVICE &amp; RESUME REQUESTS'!$F$4:$F$995=A112)*('NEW SERVICE &amp; RESUME REQUESTS'!$C$4:$C$995="New Service &amp; Resume Requests")*(($C$3="All")+(MONTH('NEW SERVICE &amp; RESUME REQUESTS'!$G$4:$G$995)=IF($C$3="July",7,IF($C$3="August",8,0))))*'NEW SERVICE &amp; RESUME REQUESTS'!$E$4:$E$995)</f>
        <v>0</v>
      </c>
      <c r="N112" s="6"/>
      <c r="O112" s="6"/>
    </row>
    <row r="113" spans="1:15" ht="15" customHeight="1">
      <c r="A113" s="4" t="s">
        <v>54</v>
      </c>
      <c r="B113">
        <f>SUMPRODUCT(('NEW SERVICE &amp; RESUME REQUESTS'!$F$4:$F$995=A113)*('NEW SERVICE &amp; RESUME REQUESTS'!$C$4:$C$995="New Service &amp; Resume Requests")*(($C$3="All")+(MONTH('NEW SERVICE &amp; RESUME REQUESTS'!$G$4:$G$995)=IF($C$3="July",7,IF($C$3="August",8,0)))))</f>
        <v>0</v>
      </c>
      <c r="C113">
        <f>SUMIFS(Targets!$D$5:$D$80,Targets!$A$5:$A$80,A113,Targets!$B$5:$B$80,"New Service &amp; Resume Requests")</f>
        <v>0</v>
      </c>
      <c r="D113" s="12">
        <f>SUMPRODUCT(('NEW SERVICE &amp; RESUME REQUESTS'!$F$4:$F$995=A113)*('NEW SERVICE &amp; RESUME REQUESTS'!$C$4:$C$995="New Service &amp; Resume Requests")*(($C$3="All")+(MONTH('NEW SERVICE &amp; RESUME REQUESTS'!$G$4:$G$995)=IF($C$3="July",7,IF($C$3="August",8,0))))*'NEW SERVICE &amp; RESUME REQUESTS'!$E$4:$E$995)</f>
        <v>0</v>
      </c>
      <c r="N113" s="6"/>
      <c r="O113" s="6"/>
    </row>
    <row r="114" spans="1:15" ht="15" customHeight="1">
      <c r="A114" s="4" t="s">
        <v>55</v>
      </c>
      <c r="B114">
        <f>SUMPRODUCT(('NEW SERVICE &amp; RESUME REQUESTS'!$F$4:$F$995=A114)*('NEW SERVICE &amp; RESUME REQUESTS'!$C$4:$C$995="New Service &amp; Resume Requests")*(($C$3="All")+(MONTH('NEW SERVICE &amp; RESUME REQUESTS'!$G$4:$G$995)=IF($C$3="July",7,IF($C$3="August",8,0)))))</f>
        <v>0</v>
      </c>
      <c r="C114">
        <f>SUMIFS(Targets!$D$5:$D$80,Targets!$A$5:$A$80,A114,Targets!$B$5:$B$80,"New Service &amp; Resume Requests")</f>
        <v>0</v>
      </c>
      <c r="D114" s="12">
        <f>SUMPRODUCT(('NEW SERVICE &amp; RESUME REQUESTS'!$F$4:$F$995=A114)*('NEW SERVICE &amp; RESUME REQUESTS'!$C$4:$C$995="New Service &amp; Resume Requests")*(($C$3="All")+(MONTH('NEW SERVICE &amp; RESUME REQUESTS'!$G$4:$G$995)=IF($C$3="July",7,IF($C$3="August",8,0))))*'NEW SERVICE &amp; RESUME REQUESTS'!$E$4:$E$995)</f>
        <v>0</v>
      </c>
      <c r="N114" s="8"/>
      <c r="O114" s="8"/>
    </row>
    <row r="115" spans="1:15" ht="15" customHeight="1">
      <c r="A115" s="4" t="s">
        <v>56</v>
      </c>
      <c r="B115">
        <f>SUMPRODUCT(('NEW SERVICE &amp; RESUME REQUESTS'!$F$4:$F$995=A115)*('NEW SERVICE &amp; RESUME REQUESTS'!$C$4:$C$995="New Service &amp; Resume Requests")*(($C$3="All")+(MONTH('NEW SERVICE &amp; RESUME REQUESTS'!$G$4:$G$995)=IF($C$3="July",7,IF($C$3="August",8,0)))))</f>
        <v>0</v>
      </c>
      <c r="C115">
        <f>SUMIFS(Targets!$D$5:$D$80,Targets!$A$5:$A$80,A115,Targets!$B$5:$B$80,"New Service &amp; Resume Requests")</f>
        <v>0</v>
      </c>
      <c r="D115" s="12">
        <f>SUMPRODUCT(('NEW SERVICE &amp; RESUME REQUESTS'!$F$4:$F$995=A115)*('NEW SERVICE &amp; RESUME REQUESTS'!$C$4:$C$995="New Service &amp; Resume Requests")*(($C$3="All")+(MONTH('NEW SERVICE &amp; RESUME REQUESTS'!$G$4:$G$995)=IF($C$3="July",7,IF($C$3="August",8,0))))*'NEW SERVICE &amp; RESUME REQUESTS'!$E$4:$E$995)</f>
        <v>0</v>
      </c>
      <c r="N115" s="6"/>
      <c r="O115" s="6"/>
    </row>
    <row r="116" spans="1:15" ht="15" customHeight="1">
      <c r="A116" s="4" t="s">
        <v>57</v>
      </c>
      <c r="B116">
        <f>SUMPRODUCT(('NEW SERVICE &amp; RESUME REQUESTS'!$F$4:$F$995=A116)*('NEW SERVICE &amp; RESUME REQUESTS'!$C$4:$C$995="New Service &amp; Resume Requests")*(($C$3="All")+(MONTH('NEW SERVICE &amp; RESUME REQUESTS'!$G$4:$G$995)=IF($C$3="July",7,IF($C$3="August",8,0)))))</f>
        <v>0</v>
      </c>
      <c r="C116">
        <f>SUMIFS(Targets!$D$5:$D$80,Targets!$A$5:$A$80,A116,Targets!$B$5:$B$80,"New Service &amp; Resume Requests")</f>
        <v>0</v>
      </c>
      <c r="D116" s="12">
        <f>SUMPRODUCT(('NEW SERVICE &amp; RESUME REQUESTS'!$F$4:$F$995=A116)*('NEW SERVICE &amp; RESUME REQUESTS'!$C$4:$C$995="New Service &amp; Resume Requests")*(($C$3="All")+(MONTH('NEW SERVICE &amp; RESUME REQUESTS'!$G$4:$G$995)=IF($C$3="July",7,IF($C$3="August",8,0))))*'NEW SERVICE &amp; RESUME REQUESTS'!$E$4:$E$995)</f>
        <v>0</v>
      </c>
      <c r="N116" s="6"/>
      <c r="O116" s="6"/>
    </row>
    <row r="117" spans="1:15" ht="15" customHeight="1">
      <c r="A117" s="4" t="s">
        <v>58</v>
      </c>
      <c r="B117">
        <f>SUMPRODUCT(('NEW SERVICE &amp; RESUME REQUESTS'!$F$4:$F$995=A117)*('NEW SERVICE &amp; RESUME REQUESTS'!$C$4:$C$995="New Service &amp; Resume Requests")*(($C$3="All")+(MONTH('NEW SERVICE &amp; RESUME REQUESTS'!$G$4:$G$995)=IF($C$3="July",7,IF($C$3="August",8,0)))))</f>
        <v>0</v>
      </c>
      <c r="C117">
        <f>SUMIFS(Targets!$D$5:$D$80,Targets!$A$5:$A$80,A117,Targets!$B$5:$B$80,"New Service &amp; Resume Requests")</f>
        <v>0</v>
      </c>
      <c r="D117" s="12">
        <f>SUMPRODUCT(('NEW SERVICE &amp; RESUME REQUESTS'!$F$4:$F$995=A117)*('NEW SERVICE &amp; RESUME REQUESTS'!$C$4:$C$995="New Service &amp; Resume Requests")*(($C$3="All")+(MONTH('NEW SERVICE &amp; RESUME REQUESTS'!$G$4:$G$995)=IF($C$3="July",7,IF($C$3="August",8,0))))*'NEW SERVICE &amp; RESUME REQUESTS'!$E$4:$E$995)</f>
        <v>0</v>
      </c>
      <c r="N117" s="6"/>
      <c r="O117" s="6"/>
    </row>
    <row r="118" spans="1:15" ht="15" customHeight="1">
      <c r="A118" s="4" t="s">
        <v>59</v>
      </c>
      <c r="B118">
        <f>SUMPRODUCT(('NEW SERVICE &amp; RESUME REQUESTS'!$F$4:$F$995=A118)*('NEW SERVICE &amp; RESUME REQUESTS'!$C$4:$C$995="New Service &amp; Resume Requests")*(($C$3="All")+(MONTH('NEW SERVICE &amp; RESUME REQUESTS'!$G$4:$G$995)=IF($C$3="July",7,IF($C$3="August",8,0)))))</f>
        <v>0</v>
      </c>
      <c r="C118">
        <f>SUMIFS(Targets!$D$5:$D$80,Targets!$A$5:$A$80,A118,Targets!$B$5:$B$80,"New Service &amp; Resume Requests")</f>
        <v>0</v>
      </c>
      <c r="D118" s="12">
        <f>SUMPRODUCT(('NEW SERVICE &amp; RESUME REQUESTS'!$F$4:$F$995=A118)*('NEW SERVICE &amp; RESUME REQUESTS'!$C$4:$C$995="New Service &amp; Resume Requests")*(($C$3="All")+(MONTH('NEW SERVICE &amp; RESUME REQUESTS'!$G$4:$G$995)=IF($C$3="July",7,IF($C$3="August",8,0))))*'NEW SERVICE &amp; RESUME REQUESTS'!$E$4:$E$995)</f>
        <v>0</v>
      </c>
      <c r="N118" s="6"/>
      <c r="O118" s="6"/>
    </row>
    <row r="119" spans="1:15" ht="15" customHeight="1">
      <c r="A119" s="4" t="s">
        <v>60</v>
      </c>
      <c r="B119">
        <f>SUMPRODUCT(('NEW SERVICE &amp; RESUME REQUESTS'!$F$4:$F$995=A119)*('NEW SERVICE &amp; RESUME REQUESTS'!$C$4:$C$995="New Service &amp; Resume Requests")*(($C$3="All")+(MONTH('NEW SERVICE &amp; RESUME REQUESTS'!$G$4:$G$995)=IF($C$3="July",7,IF($C$3="August",8,0)))))</f>
        <v>0</v>
      </c>
      <c r="C119">
        <f>SUMIFS(Targets!$D$5:$D$80,Targets!$A$5:$A$80,A119,Targets!$B$5:$B$80,"New Service &amp; Resume Requests")</f>
        <v>0</v>
      </c>
      <c r="D119" s="12">
        <f>SUMPRODUCT(('NEW SERVICE &amp; RESUME REQUESTS'!$F$4:$F$995=A119)*('NEW SERVICE &amp; RESUME REQUESTS'!$C$4:$C$995="New Service &amp; Resume Requests")*(($C$3="All")+(MONTH('NEW SERVICE &amp; RESUME REQUESTS'!$G$4:$G$995)=IF($C$3="July",7,IF($C$3="August",8,0))))*'NEW SERVICE &amp; RESUME REQUESTS'!$E$4:$E$995)</f>
        <v>0</v>
      </c>
      <c r="N119" s="6"/>
      <c r="O119" s="6"/>
    </row>
    <row r="120" spans="1:15" ht="15" customHeight="1">
      <c r="A120" s="4" t="s">
        <v>61</v>
      </c>
      <c r="B120">
        <f>SUMPRODUCT(('NEW SERVICE &amp; RESUME REQUESTS'!$F$4:$F$995=A120)*('NEW SERVICE &amp; RESUME REQUESTS'!$C$4:$C$995="New Service &amp; Resume Requests")*(($C$3="All")+(MONTH('NEW SERVICE &amp; RESUME REQUESTS'!$G$4:$G$995)=IF($C$3="July",7,IF($C$3="August",8,0)))))</f>
        <v>0</v>
      </c>
      <c r="C120">
        <f>SUMIFS(Targets!$D$5:$D$80,Targets!$A$5:$A$80,A120,Targets!$B$5:$B$80,"New Service &amp; Resume Requests")</f>
        <v>0</v>
      </c>
      <c r="D120" s="12">
        <f>SUMPRODUCT(('NEW SERVICE &amp; RESUME REQUESTS'!$F$4:$F$995=A120)*('NEW SERVICE &amp; RESUME REQUESTS'!$C$4:$C$995="New Service &amp; Resume Requests")*(($C$3="All")+(MONTH('NEW SERVICE &amp; RESUME REQUESTS'!$G$4:$G$995)=IF($C$3="July",7,IF($C$3="August",8,0))))*'NEW SERVICE &amp; RESUME REQUESTS'!$E$4:$E$995)</f>
        <v>0</v>
      </c>
      <c r="N120" s="6"/>
      <c r="O120" s="6"/>
    </row>
    <row r="121" spans="1:15" ht="15" customHeight="1">
      <c r="A121" s="4" t="s">
        <v>62</v>
      </c>
      <c r="B121">
        <f>SUMPRODUCT(('NEW SERVICE &amp; RESUME REQUESTS'!$F$4:$F$995=A121)*('NEW SERVICE &amp; RESUME REQUESTS'!$C$4:$C$995="New Service &amp; Resume Requests")*(($C$3="All")+(MONTH('NEW SERVICE &amp; RESUME REQUESTS'!$G$4:$G$995)=IF($C$3="July",7,IF($C$3="August",8,0)))))</f>
        <v>0</v>
      </c>
      <c r="C121">
        <f>SUMIFS(Targets!$D$5:$D$80,Targets!$A$5:$A$80,A121,Targets!$B$5:$B$80,"New Service &amp; Resume Requests")</f>
        <v>0</v>
      </c>
      <c r="D121" s="12">
        <f>SUMPRODUCT(('NEW SERVICE &amp; RESUME REQUESTS'!$F$4:$F$995=A121)*('NEW SERVICE &amp; RESUME REQUESTS'!$C$4:$C$995="New Service &amp; Resume Requests")*(($C$3="All")+(MONTH('NEW SERVICE &amp; RESUME REQUESTS'!$G$4:$G$995)=IF($C$3="July",7,IF($C$3="August",8,0))))*'NEW SERVICE &amp; RESUME REQUESTS'!$E$4:$E$995)</f>
        <v>0</v>
      </c>
      <c r="N121" s="6"/>
      <c r="O121" s="6"/>
    </row>
    <row r="123" spans="1:15" ht="15" customHeight="1">
      <c r="A123" s="39" t="s">
        <v>63</v>
      </c>
      <c r="B123" s="40"/>
    </row>
    <row r="124" spans="1:15" ht="15" customHeight="1">
      <c r="A124" s="41" t="s">
        <v>64</v>
      </c>
      <c r="B124" s="41" t="s">
        <v>65</v>
      </c>
    </row>
    <row r="125" spans="1:15" ht="15" customHeight="1">
      <c r="A125" s="4" t="s">
        <v>66</v>
      </c>
      <c r="B125" s="4">
        <f>COUNTIFS(CHURN!$L$2:$L$995,"*no reason*")</f>
        <v>2</v>
      </c>
    </row>
    <row r="126" spans="1:15" ht="15" customHeight="1">
      <c r="A126" s="4" t="s">
        <v>67</v>
      </c>
      <c r="B126" s="4">
        <f>COUNTIFS(CHURN!$L$2:$L$995,"*inhouse*")</f>
        <v>1</v>
      </c>
    </row>
    <row r="127" spans="1:15" ht="15" customHeight="1">
      <c r="A127" s="4" t="s">
        <v>68</v>
      </c>
      <c r="B127" s="4">
        <f>COUNTIFS(CHURN!$L$2:$L$995,"*discharged*")</f>
        <v>2</v>
      </c>
    </row>
    <row r="128" spans="1:15" ht="15" customHeight="1">
      <c r="A128" s="4" t="s">
        <v>69</v>
      </c>
      <c r="B128" s="4">
        <f>COUNTIFS(CHURN!$L$2:$L$995,"*hospital*")</f>
        <v>0</v>
      </c>
    </row>
    <row r="129" spans="1:4" ht="15" customHeight="1">
      <c r="A129" s="4" t="s">
        <v>70</v>
      </c>
      <c r="B129" s="4">
        <f>COUNTIFS(CHURN!$L$2:$L$995,"*deceased*")</f>
        <v>3</v>
      </c>
    </row>
    <row r="130" spans="1:4" ht="15" customHeight="1">
      <c r="A130" s="4" t="s">
        <v>71</v>
      </c>
      <c r="B130" s="4">
        <f>COUNTIFS(CHURN!$L$2:$L$995,"*chang*provider*")</f>
        <v>0</v>
      </c>
    </row>
    <row r="131" spans="1:4" ht="15" customHeight="1">
      <c r="A131" s="13" t="s">
        <v>72</v>
      </c>
      <c r="B131" s="13">
        <f>COUNTIFS(CHURN!$L$2:$L$995,"*")-SUM(B125:B130)</f>
        <v>3</v>
      </c>
    </row>
    <row r="134" spans="1:4" ht="15" customHeight="1">
      <c r="A134" s="15" t="s">
        <v>73</v>
      </c>
      <c r="B134" s="15" t="s">
        <v>65</v>
      </c>
      <c r="C134" s="15" t="s">
        <v>74</v>
      </c>
    </row>
    <row r="135" spans="1:4" ht="15" customHeight="1">
      <c r="A135" s="4" t="s">
        <v>39</v>
      </c>
      <c r="B135" s="4">
        <f>SUMPRODUCT(('NEW SERVICE &amp; RESUME REQUESTS'!$F$4:$F$144=A135)*(($C$3="All")+(MONTH('NEW SERVICE &amp; RESUME REQUESTS'!$G$4:$G$144)=IF($C$3="July",7,IF($C$3="August",8,0)))))</f>
        <v>9</v>
      </c>
      <c r="C135" s="16">
        <f>SUMPRODUCT(('NEW SERVICE &amp; RESUME REQUESTS'!$F$4:$F$144=A135)*(($C$3="All")+(MONTH('NEW SERVICE &amp; RESUME REQUESTS'!$G$4:$G$144)=IF($C$3="July",7,IF($C$3="August",8,0))))*'NEW SERVICE &amp; RESUME REQUESTS'!$E$4:$E$144)</f>
        <v>2030.72</v>
      </c>
      <c r="D135" s="17">
        <f t="shared" ref="D135:D152" si="0">C135+ROW()/100000000</f>
        <v>2030.7200013500001</v>
      </c>
    </row>
    <row r="136" spans="1:4" ht="15" customHeight="1">
      <c r="A136" s="4" t="s">
        <v>16</v>
      </c>
      <c r="B136" s="4">
        <f>SUMPRODUCT(('NEW SERVICE &amp; RESUME REQUESTS'!$F$4:$F$144=A136)*(($C$3="All")+(MONTH('NEW SERVICE &amp; RESUME REQUESTS'!$G$4:$G$144)=IF($C$3="July",7,IF($C$3="August",8,0)))))</f>
        <v>17</v>
      </c>
      <c r="C136" s="16">
        <f>SUMPRODUCT(('NEW SERVICE &amp; RESUME REQUESTS'!$F$4:$F$144=A136)*(($C$3="All")+(MONTH('NEW SERVICE &amp; RESUME REQUESTS'!$G$4:$G$144)=IF($C$3="July",7,IF($C$3="August",8,0))))*'NEW SERVICE &amp; RESUME REQUESTS'!$E$4:$E$144)</f>
        <v>3712.4100000000008</v>
      </c>
      <c r="D136" s="17">
        <f t="shared" si="0"/>
        <v>3712.4100013600009</v>
      </c>
    </row>
    <row r="137" spans="1:4" ht="15" customHeight="1">
      <c r="A137" s="4" t="s">
        <v>30</v>
      </c>
      <c r="B137" s="4">
        <f>SUMPRODUCT(('NEW SERVICE &amp; RESUME REQUESTS'!$F$4:$F$144=A137)*(($C$3="All")+(MONTH('NEW SERVICE &amp; RESUME REQUESTS'!$G$4:$G$144)=IF($C$3="July",7,IF($C$3="August",8,0)))))</f>
        <v>1</v>
      </c>
      <c r="C137" s="16">
        <f>SUMPRODUCT(('NEW SERVICE &amp; RESUME REQUESTS'!$F$4:$F$144=A137)*(($C$3="All")+(MONTH('NEW SERVICE &amp; RESUME REQUESTS'!$G$4:$G$144)=IF($C$3="July",7,IF($C$3="August",8,0))))*'NEW SERVICE &amp; RESUME REQUESTS'!$E$4:$E$144)</f>
        <v>126.92</v>
      </c>
      <c r="D137" s="17">
        <f t="shared" si="0"/>
        <v>126.92000137000001</v>
      </c>
    </row>
    <row r="138" spans="1:4" ht="15" customHeight="1">
      <c r="A138" s="4" t="s">
        <v>28</v>
      </c>
      <c r="B138" s="4">
        <f>SUMPRODUCT(('NEW SERVICE &amp; RESUME REQUESTS'!$F$4:$F$144=A138)*(($C$3="All")+(MONTH('NEW SERVICE &amp; RESUME REQUESTS'!$G$4:$G$144)=IF($C$3="July",7,IF($C$3="August",8,0)))))</f>
        <v>1</v>
      </c>
      <c r="C138" s="16">
        <f>SUMPRODUCT(('NEW SERVICE &amp; RESUME REQUESTS'!$F$4:$F$144=A138)*(($C$3="All")+(MONTH('NEW SERVICE &amp; RESUME REQUESTS'!$G$4:$G$144)=IF($C$3="July",7,IF($C$3="August",8,0))))*'NEW SERVICE &amp; RESUME REQUESTS'!$E$4:$E$144)</f>
        <v>325.56</v>
      </c>
      <c r="D138" s="17">
        <f t="shared" si="0"/>
        <v>325.56000138000002</v>
      </c>
    </row>
    <row r="139" spans="1:4" ht="15" customHeight="1">
      <c r="A139" s="4" t="s">
        <v>33</v>
      </c>
      <c r="B139" s="4">
        <f>SUMPRODUCT(('NEW SERVICE &amp; RESUME REQUESTS'!$F$4:$F$144=A139)*(($C$3="All")+(MONTH('NEW SERVICE &amp; RESUME REQUESTS'!$G$4:$G$144)=IF($C$3="July",7,IF($C$3="August",8,0)))))</f>
        <v>1</v>
      </c>
      <c r="C139" s="16">
        <f>SUMPRODUCT(('NEW SERVICE &amp; RESUME REQUESTS'!$F$4:$F$144=A139)*(($C$3="All")+(MONTH('NEW SERVICE &amp; RESUME REQUESTS'!$G$4:$G$144)=IF($C$3="July",7,IF($C$3="August",8,0))))*'NEW SERVICE &amp; RESUME REQUESTS'!$E$4:$E$144)</f>
        <v>95.19</v>
      </c>
      <c r="D139" s="17">
        <f t="shared" si="0"/>
        <v>95.190001389999992</v>
      </c>
    </row>
    <row r="140" spans="1:4" ht="15" customHeight="1">
      <c r="A140" s="4" t="s">
        <v>75</v>
      </c>
      <c r="B140" s="4">
        <f>SUMPRODUCT(('NEW SERVICE &amp; RESUME REQUESTS'!$F$4:$F$144=A140)*(($C$3="All")+(MONTH('NEW SERVICE &amp; RESUME REQUESTS'!$G$4:$G$144)=IF($C$3="July",7,IF($C$3="August",8,0)))))</f>
        <v>2</v>
      </c>
      <c r="C140" s="16">
        <f>SUMPRODUCT(('NEW SERVICE &amp; RESUME REQUESTS'!$F$4:$F$144=A140)*(($C$3="All")+(MONTH('NEW SERVICE &amp; RESUME REQUESTS'!$G$4:$G$144)=IF($C$3="July",7,IF($C$3="August",8,0))))*'NEW SERVICE &amp; RESUME REQUESTS'!$E$4:$E$144)</f>
        <v>1318.6</v>
      </c>
      <c r="D140" s="17">
        <f t="shared" si="0"/>
        <v>1318.6000013999999</v>
      </c>
    </row>
    <row r="141" spans="1:4" ht="15" customHeight="1">
      <c r="A141" s="4" t="s">
        <v>20</v>
      </c>
      <c r="B141" s="4">
        <f>SUMPRODUCT(('NEW SERVICE &amp; RESUME REQUESTS'!$F$4:$F$144=A141)*(($C$3="All")+(MONTH('NEW SERVICE &amp; RESUME REQUESTS'!$G$4:$G$144)=IF($C$3="July",7,IF($C$3="August",8,0)))))</f>
        <v>14</v>
      </c>
      <c r="C141" s="16">
        <f>SUMPRODUCT(('NEW SERVICE &amp; RESUME REQUESTS'!$F$4:$F$144=A141)*(($C$3="All")+(MONTH('NEW SERVICE &amp; RESUME REQUESTS'!$G$4:$G$144)=IF($C$3="July",7,IF($C$3="August",8,0))))*'NEW SERVICE &amp; RESUME REQUESTS'!$E$4:$E$144)</f>
        <v>2719.5800000000004</v>
      </c>
      <c r="D141" s="17">
        <f t="shared" si="0"/>
        <v>2719.5800014100005</v>
      </c>
    </row>
    <row r="142" spans="1:4" ht="15" customHeight="1">
      <c r="A142" s="4" t="s">
        <v>46</v>
      </c>
      <c r="B142" s="4">
        <f>SUMPRODUCT(('NEW SERVICE &amp; RESUME REQUESTS'!$F$4:$F$144=A142)*(($C$3="All")+(MONTH('NEW SERVICE &amp; RESUME REQUESTS'!$G$4:$G$144)=IF($C$3="July",7,IF($C$3="August",8,0)))))</f>
        <v>4</v>
      </c>
      <c r="C142" s="16">
        <f>SUMPRODUCT(('NEW SERVICE &amp; RESUME REQUESTS'!$F$4:$F$144=A142)*(($C$3="All")+(MONTH('NEW SERVICE &amp; RESUME REQUESTS'!$G$4:$G$144)=IF($C$3="July",7,IF($C$3="August",8,0))))*'NEW SERVICE &amp; RESUME REQUESTS'!$E$4:$E$144)</f>
        <v>512.62</v>
      </c>
      <c r="D142" s="17">
        <f t="shared" si="0"/>
        <v>512.62000141999999</v>
      </c>
    </row>
    <row r="143" spans="1:4" ht="15" customHeight="1">
      <c r="A143" s="4" t="s">
        <v>31</v>
      </c>
      <c r="B143" s="4">
        <f>SUMPRODUCT(('NEW SERVICE &amp; RESUME REQUESTS'!$F$4:$F$144=A143)*(($C$3="All")+(MONTH('NEW SERVICE &amp; RESUME REQUESTS'!$G$4:$G$144)=IF($C$3="July",7,IF($C$3="August",8,0)))))</f>
        <v>1</v>
      </c>
      <c r="C143" s="16">
        <f>SUMPRODUCT(('NEW SERVICE &amp; RESUME REQUESTS'!$F$4:$F$144=A143)*(($C$3="All")+(MONTH('NEW SERVICE &amp; RESUME REQUESTS'!$G$4:$G$144)=IF($C$3="July",7,IF($C$3="August",8,0))))*'NEW SERVICE &amp; RESUME REQUESTS'!$E$4:$E$144)</f>
        <v>190.38</v>
      </c>
      <c r="D143" s="17">
        <f t="shared" si="0"/>
        <v>190.38000142999999</v>
      </c>
    </row>
    <row r="144" spans="1:4" ht="15" customHeight="1">
      <c r="A144" s="4" t="s">
        <v>76</v>
      </c>
      <c r="B144" s="4">
        <f>SUMPRODUCT(('NEW SERVICE &amp; RESUME REQUESTS'!$F$4:$F$144=A144)*(($C$3="All")+(MONTH('NEW SERVICE &amp; RESUME REQUESTS'!$G$4:$G$144)=IF($C$3="July",7,IF($C$3="August",8,0)))))</f>
        <v>1</v>
      </c>
      <c r="C144" s="16">
        <f>SUMPRODUCT(('NEW SERVICE &amp; RESUME REQUESTS'!$F$4:$F$144=A144)*(($C$3="All")+(MONTH('NEW SERVICE &amp; RESUME REQUESTS'!$G$4:$G$144)=IF($C$3="July",7,IF($C$3="August",8,0))))*'NEW SERVICE &amp; RESUME REQUESTS'!$E$4:$E$144)</f>
        <v>126.92</v>
      </c>
      <c r="D144" s="17">
        <f t="shared" si="0"/>
        <v>126.92000144000001</v>
      </c>
    </row>
    <row r="145" spans="1:4" ht="15" customHeight="1">
      <c r="A145" s="4" t="s">
        <v>15</v>
      </c>
      <c r="B145" s="4">
        <f>SUMPRODUCT(('NEW SERVICE &amp; RESUME REQUESTS'!$F$4:$F$144=A145)*(($C$3="All")+(MONTH('NEW SERVICE &amp; RESUME REQUESTS'!$G$4:$G$144)=IF($C$3="July",7,IF($C$3="August",8,0)))))</f>
        <v>4</v>
      </c>
      <c r="C145" s="16">
        <f>SUMPRODUCT(('NEW SERVICE &amp; RESUME REQUESTS'!$F$4:$F$144=A145)*(($C$3="All")+(MONTH('NEW SERVICE &amp; RESUME REQUESTS'!$G$4:$G$144)=IF($C$3="July",7,IF($C$3="August",8,0))))*'NEW SERVICE &amp; RESUME REQUESTS'!$E$4:$E$144)</f>
        <v>888.43999999999994</v>
      </c>
      <c r="D145" s="17">
        <f t="shared" si="0"/>
        <v>888.44000144999995</v>
      </c>
    </row>
    <row r="146" spans="1:4" ht="15" customHeight="1">
      <c r="A146" s="4" t="s">
        <v>34</v>
      </c>
      <c r="B146" s="4">
        <f>SUMPRODUCT(('NEW SERVICE &amp; RESUME REQUESTS'!$F$4:$F$144=A146)*(($C$3="All")+(MONTH('NEW SERVICE &amp; RESUME REQUESTS'!$G$4:$G$144)=IF($C$3="July",7,IF($C$3="August",8,0)))))</f>
        <v>1</v>
      </c>
      <c r="C146" s="16">
        <f>SUMPRODUCT(('NEW SERVICE &amp; RESUME REQUESTS'!$F$4:$F$144=A146)*(($C$3="All")+(MONTH('NEW SERVICE &amp; RESUME REQUESTS'!$G$4:$G$144)=IF($C$3="July",7,IF($C$3="August",8,0))))*'NEW SERVICE &amp; RESUME REQUESTS'!$E$4:$E$144)</f>
        <v>190.38</v>
      </c>
      <c r="D146" s="17">
        <f t="shared" si="0"/>
        <v>190.38000145999999</v>
      </c>
    </row>
    <row r="147" spans="1:4" ht="15" customHeight="1">
      <c r="A147" s="4" t="s">
        <v>32</v>
      </c>
      <c r="B147" s="4">
        <f>SUMPRODUCT(('NEW SERVICE &amp; RESUME REQUESTS'!$F$4:$F$144=A147)*(($C$3="All")+(MONTH('NEW SERVICE &amp; RESUME REQUESTS'!$G$4:$G$144)=IF($C$3="July",7,IF($C$3="August",8,0)))))</f>
        <v>3</v>
      </c>
      <c r="C147" s="16">
        <f>SUMPRODUCT(('NEW SERVICE &amp; RESUME REQUESTS'!$F$4:$F$144=A147)*(($C$3="All")+(MONTH('NEW SERVICE &amp; RESUME REQUESTS'!$G$4:$G$144)=IF($C$3="July",7,IF($C$3="August",8,0))))*'NEW SERVICE &amp; RESUME REQUESTS'!$E$4:$E$144)</f>
        <v>761.52</v>
      </c>
      <c r="D147" s="17">
        <f t="shared" si="0"/>
        <v>761.52000147000001</v>
      </c>
    </row>
    <row r="148" spans="1:4" ht="15" customHeight="1">
      <c r="A148" s="4" t="s">
        <v>77</v>
      </c>
      <c r="B148" s="4">
        <f>SUMPRODUCT(('NEW SERVICE &amp; RESUME REQUESTS'!$F$4:$F$144=A148)*(($C$3="All")+(MONTH('NEW SERVICE &amp; RESUME REQUESTS'!$G$4:$G$144)=IF($C$3="July",7,IF($C$3="August",8,0)))))</f>
        <v>1</v>
      </c>
      <c r="C148" s="16">
        <f>SUMPRODUCT(('NEW SERVICE &amp; RESUME REQUESTS'!$F$4:$F$144=A148)*(($C$3="All")+(MONTH('NEW SERVICE &amp; RESUME REQUESTS'!$G$4:$G$144)=IF($C$3="July",7,IF($C$3="August",8,0))))*'NEW SERVICE &amp; RESUME REQUESTS'!$E$4:$E$144)</f>
        <v>263.72000000000003</v>
      </c>
      <c r="D148" s="17">
        <f t="shared" si="0"/>
        <v>263.72000148000001</v>
      </c>
    </row>
    <row r="149" spans="1:4" ht="15" customHeight="1">
      <c r="A149" s="4" t="s">
        <v>45</v>
      </c>
      <c r="B149" s="4">
        <f>SUMPRODUCT(('NEW SERVICE &amp; RESUME REQUESTS'!$F$4:$F$144=A149)*(($C$3="All")+(MONTH('NEW SERVICE &amp; RESUME REQUESTS'!$G$4:$G$144)=IF($C$3="July",7,IF($C$3="August",8,0)))))</f>
        <v>2</v>
      </c>
      <c r="C149" s="16">
        <f>SUMPRODUCT(('NEW SERVICE &amp; RESUME REQUESTS'!$F$4:$F$144=A149)*(($C$3="All")+(MONTH('NEW SERVICE &amp; RESUME REQUESTS'!$G$4:$G$144)=IF($C$3="July",7,IF($C$3="August",8,0))))*'NEW SERVICE &amp; RESUME REQUESTS'!$E$4:$E$144)</f>
        <v>527.44000000000005</v>
      </c>
      <c r="D149" s="17">
        <f t="shared" si="0"/>
        <v>527.4400014900001</v>
      </c>
    </row>
    <row r="150" spans="1:4" ht="15" customHeight="1">
      <c r="A150" s="4" t="s">
        <v>78</v>
      </c>
      <c r="B150" s="4">
        <f>SUMPRODUCT(('NEW SERVICE &amp; RESUME REQUESTS'!$F$4:$F$144=A150)*(($C$3="All")+(MONTH('NEW SERVICE &amp; RESUME REQUESTS'!$G$4:$G$144)=IF($C$3="July",7,IF($C$3="August",8,0)))))</f>
        <v>1</v>
      </c>
      <c r="C150" s="16">
        <f>SUMPRODUCT(('NEW SERVICE &amp; RESUME REQUESTS'!$F$4:$F$144=A150)*(($C$3="All")+(MONTH('NEW SERVICE &amp; RESUME REQUESTS'!$G$4:$G$144)=IF($C$3="July",7,IF($C$3="August",8,0))))*'NEW SERVICE &amp; RESUME REQUESTS'!$E$4:$E$144)</f>
        <v>253.84</v>
      </c>
      <c r="D150" s="17">
        <f t="shared" si="0"/>
        <v>253.8400015</v>
      </c>
    </row>
    <row r="151" spans="1:4" ht="15" customHeight="1">
      <c r="A151" s="4" t="s">
        <v>18</v>
      </c>
      <c r="B151" s="4">
        <f>SUMPRODUCT(('NEW SERVICE &amp; RESUME REQUESTS'!$F$4:$F$144=A151)*(($C$3="All")+(MONTH('NEW SERVICE &amp; RESUME REQUESTS'!$G$4:$G$144)=IF($C$3="July",7,IF($C$3="August",8,0)))))</f>
        <v>75</v>
      </c>
      <c r="C151" s="16">
        <f>SUMPRODUCT(('NEW SERVICE &amp; RESUME REQUESTS'!$F$4:$F$144=A151)*(($C$3="All")+(MONTH('NEW SERVICE &amp; RESUME REQUESTS'!$G$4:$G$144)=IF($C$3="July",7,IF($C$3="August",8,0))))*'NEW SERVICE &amp; RESUME REQUESTS'!$E$4:$E$144)</f>
        <v>14627.529999999979</v>
      </c>
      <c r="D151" s="17">
        <f t="shared" si="0"/>
        <v>14627.530001509978</v>
      </c>
    </row>
    <row r="152" spans="1:4" ht="15" customHeight="1">
      <c r="A152" s="4" t="s">
        <v>35</v>
      </c>
      <c r="B152" s="4">
        <f>SUMPRODUCT(('NEW SERVICE &amp; RESUME REQUESTS'!$F$4:$F$144=A152)*(($C$3="All")+(MONTH('NEW SERVICE &amp; RESUME REQUESTS'!$G$4:$G$144)=IF($C$3="July",7,IF($C$3="August",8,0)))))</f>
        <v>3</v>
      </c>
      <c r="C152" s="16">
        <f>SUMPRODUCT(('NEW SERVICE &amp; RESUME REQUESTS'!$F$4:$F$144=A152)*(($C$3="All")+(MONTH('NEW SERVICE &amp; RESUME REQUESTS'!$G$4:$G$144)=IF($C$3="July",7,IF($C$3="August",8,0))))*'NEW SERVICE &amp; RESUME REQUESTS'!$E$4:$E$144)</f>
        <v>634.6</v>
      </c>
      <c r="D152" s="17">
        <f t="shared" si="0"/>
        <v>634.60000151999998</v>
      </c>
    </row>
    <row r="155" spans="1:4" ht="15" customHeight="1">
      <c r="A155" s="15" t="s">
        <v>79</v>
      </c>
      <c r="B155" s="15" t="s">
        <v>65</v>
      </c>
      <c r="C155" s="15" t="s">
        <v>74</v>
      </c>
    </row>
    <row r="156" spans="1:4" ht="15" customHeight="1">
      <c r="A156" s="4" t="s">
        <v>16</v>
      </c>
      <c r="B156" s="4">
        <f>SUMPRODUCT(('PLACED &amp; SCHEDULED ORDERS'!$F$2:$F$11=A156)*(($C$3="All")+(MONTH('PLACED &amp; SCHEDULED ORDERS'!$G$2:$G$11)=IF($C$3="July",7,IF($C$3="August",8,0)))))</f>
        <v>1</v>
      </c>
      <c r="C156" s="16">
        <f>SUMPRODUCT(('PLACED &amp; SCHEDULED ORDERS'!$F$2:$F$11=A156)*(($C$3="All")+(MONTH('PLACED &amp; SCHEDULED ORDERS'!$G$2:$G$11)=IF($C$3="July",7,IF($C$3="August",8,0))))*'PLACED &amp; SCHEDULED ORDERS'!$E$2:$E$11)</f>
        <v>253.84</v>
      </c>
      <c r="D156" s="17">
        <f t="shared" ref="D156:D165" si="1">C156+ROW()/100000000</f>
        <v>253.84000155999999</v>
      </c>
    </row>
    <row r="157" spans="1:4" ht="15" customHeight="1">
      <c r="A157" s="4" t="s">
        <v>31</v>
      </c>
      <c r="B157" s="4">
        <f>SUMPRODUCT(('PLACED &amp; SCHEDULED ORDERS'!$F$2:$F$11=A157)*(($C$3="All")+(MONTH('PLACED &amp; SCHEDULED ORDERS'!$G$2:$G$11)=IF($C$3="July",7,IF($C$3="August",8,0)))))</f>
        <v>1</v>
      </c>
      <c r="C157" s="16">
        <f>SUMPRODUCT(('PLACED &amp; SCHEDULED ORDERS'!$F$2:$F$11=A157)*(($C$3="All")+(MONTH('PLACED &amp; SCHEDULED ORDERS'!$G$2:$G$11)=IF($C$3="July",7,IF($C$3="August",8,0))))*'PLACED &amp; SCHEDULED ORDERS'!$E$2:$E$11)</f>
        <v>190.38</v>
      </c>
      <c r="D157" s="17">
        <f t="shared" si="1"/>
        <v>190.38000156999999</v>
      </c>
    </row>
    <row r="158" spans="1:4" ht="15" customHeight="1">
      <c r="A158" s="4" t="s">
        <v>45</v>
      </c>
      <c r="B158" s="4">
        <f>SUMPRODUCT(('PLACED &amp; SCHEDULED ORDERS'!$F$2:$F$11=A158)*(($C$3="All")+(MONTH('PLACED &amp; SCHEDULED ORDERS'!$G$2:$G$11)=IF($C$3="July",7,IF($C$3="August",8,0)))))</f>
        <v>1</v>
      </c>
      <c r="C158" s="16">
        <f>SUMPRODUCT(('PLACED &amp; SCHEDULED ORDERS'!$F$2:$F$11=A158)*(($C$3="All")+(MONTH('PLACED &amp; SCHEDULED ORDERS'!$G$2:$G$11)=IF($C$3="July",7,IF($C$3="August",8,0))))*'PLACED &amp; SCHEDULED ORDERS'!$E$2:$E$11)</f>
        <v>253.84</v>
      </c>
      <c r="D158" s="17">
        <f t="shared" si="1"/>
        <v>253.84000158000001</v>
      </c>
    </row>
    <row r="159" spans="1:4" ht="15" customHeight="1">
      <c r="A159" s="4" t="s">
        <v>18</v>
      </c>
      <c r="B159" s="4">
        <f>SUMPRODUCT(('PLACED &amp; SCHEDULED ORDERS'!$F$2:$F$11=A159)*(($C$3="All")+(MONTH('PLACED &amp; SCHEDULED ORDERS'!$G$2:$G$11)=IF($C$3="July",7,IF($C$3="August",8,0)))))</f>
        <v>1</v>
      </c>
      <c r="C159" s="16">
        <f>SUMPRODUCT(('PLACED &amp; SCHEDULED ORDERS'!$F$2:$F$11=A159)*(($C$3="All")+(MONTH('PLACED &amp; SCHEDULED ORDERS'!$G$2:$G$11)=IF($C$3="July",7,IF($C$3="August",8,0))))*'PLACED &amp; SCHEDULED ORDERS'!$E$2:$E$11)</f>
        <v>190.38</v>
      </c>
      <c r="D159" s="17">
        <f t="shared" si="1"/>
        <v>190.38000159000001</v>
      </c>
    </row>
    <row r="160" spans="1:4" ht="15" customHeight="1">
      <c r="A160" s="4" t="s">
        <v>20</v>
      </c>
      <c r="B160" s="4">
        <f>SUMPRODUCT(('PLACED &amp; SCHEDULED ORDERS'!$F$2:$F$11=A160)*(($C$3="All")+(MONTH('PLACED &amp; SCHEDULED ORDERS'!$G$2:$G$11)=IF($C$3="July",7,IF($C$3="August",8,0)))))</f>
        <v>1</v>
      </c>
      <c r="C160" s="16">
        <f>SUMPRODUCT(('PLACED &amp; SCHEDULED ORDERS'!$F$2:$F$11=A160)*(($C$3="All")+(MONTH('PLACED &amp; SCHEDULED ORDERS'!$G$2:$G$11)=IF($C$3="July",7,IF($C$3="August",8,0))))*'PLACED &amp; SCHEDULED ORDERS'!$E$2:$E$11)</f>
        <v>126.92</v>
      </c>
      <c r="D160" s="17">
        <f t="shared" si="1"/>
        <v>126.92000160000001</v>
      </c>
    </row>
    <row r="161" spans="1:4" ht="15" customHeight="1">
      <c r="A161" s="4" t="s">
        <v>39</v>
      </c>
      <c r="B161" s="4">
        <f>SUMPRODUCT(('PLACED &amp; SCHEDULED ORDERS'!$F$2:$F$11=A161)*(($C$3="All")+(MONTH('PLACED &amp; SCHEDULED ORDERS'!$G$2:$G$11)=IF($C$3="July",7,IF($C$3="August",8,0)))))</f>
        <v>1</v>
      </c>
      <c r="C161" s="16">
        <f>SUMPRODUCT(('PLACED &amp; SCHEDULED ORDERS'!$F$2:$F$11=A161)*(($C$3="All")+(MONTH('PLACED &amp; SCHEDULED ORDERS'!$G$2:$G$11)=IF($C$3="July",7,IF($C$3="August",8,0))))*'PLACED &amp; SCHEDULED ORDERS'!$E$2:$E$11)</f>
        <v>380.76</v>
      </c>
      <c r="D161" s="17">
        <f t="shared" si="1"/>
        <v>380.76000161000002</v>
      </c>
    </row>
    <row r="162" spans="1:4" ht="15" customHeight="1">
      <c r="A162" s="4" t="s">
        <v>77</v>
      </c>
      <c r="B162" s="4">
        <f>SUMPRODUCT(('PLACED &amp; SCHEDULED ORDERS'!$F$2:$F$11=A162)*(($C$3="All")+(MONTH('PLACED &amp; SCHEDULED ORDERS'!$G$2:$G$11)=IF($C$3="July",7,IF($C$3="August",8,0)))))</f>
        <v>1</v>
      </c>
      <c r="C162" s="16">
        <f>SUMPRODUCT(('PLACED &amp; SCHEDULED ORDERS'!$F$2:$F$11=A162)*(($C$3="All")+(MONTH('PLACED &amp; SCHEDULED ORDERS'!$G$2:$G$11)=IF($C$3="July",7,IF($C$3="August",8,0))))*'PLACED &amp; SCHEDULED ORDERS'!$E$2:$E$11)</f>
        <v>253.84</v>
      </c>
      <c r="D162" s="17">
        <f t="shared" si="1"/>
        <v>253.84000162000001</v>
      </c>
    </row>
    <row r="163" spans="1:4" ht="15" customHeight="1">
      <c r="A163" s="4" t="s">
        <v>76</v>
      </c>
      <c r="B163" s="4">
        <f>SUMPRODUCT(('PLACED &amp; SCHEDULED ORDERS'!$F$2:$F$11=A163)*(($C$3="All")+(MONTH('PLACED &amp; SCHEDULED ORDERS'!$G$2:$G$11)=IF($C$3="July",7,IF($C$3="August",8,0)))))</f>
        <v>1</v>
      </c>
      <c r="C163" s="16">
        <f>SUMPRODUCT(('PLACED &amp; SCHEDULED ORDERS'!$F$2:$F$11=A163)*(($C$3="All")+(MONTH('PLACED &amp; SCHEDULED ORDERS'!$G$2:$G$11)=IF($C$3="July",7,IF($C$3="August",8,0))))*'PLACED &amp; SCHEDULED ORDERS'!$E$2:$E$11)</f>
        <v>190.38</v>
      </c>
      <c r="D163" s="17">
        <f t="shared" si="1"/>
        <v>190.38000163000001</v>
      </c>
    </row>
    <row r="164" spans="1:4" ht="15" customHeight="1">
      <c r="A164" s="4" t="s">
        <v>30</v>
      </c>
      <c r="B164" s="4">
        <f>SUMPRODUCT(('PLACED &amp; SCHEDULED ORDERS'!$F$2:$F$11=A164)*(($C$3="All")+(MONTH('PLACED &amp; SCHEDULED ORDERS'!$G$2:$G$11)=IF($C$3="July",7,IF($C$3="August",8,0)))))</f>
        <v>1</v>
      </c>
      <c r="C164" s="16">
        <f>SUMPRODUCT(('PLACED &amp; SCHEDULED ORDERS'!$F$2:$F$11=A164)*(($C$3="All")+(MONTH('PLACED &amp; SCHEDULED ORDERS'!$G$2:$G$11)=IF($C$3="July",7,IF($C$3="August",8,0))))*'PLACED &amp; SCHEDULED ORDERS'!$E$2:$E$11)</f>
        <v>253.84</v>
      </c>
      <c r="D164" s="17">
        <f t="shared" si="1"/>
        <v>253.84000164</v>
      </c>
    </row>
    <row r="165" spans="1:4" ht="15" customHeight="1">
      <c r="A165" s="4" t="s">
        <v>46</v>
      </c>
      <c r="B165" s="4">
        <f>SUMPRODUCT(('PLACED &amp; SCHEDULED ORDERS'!$F$2:$F$11=A165)*(($C$3="All")+(MONTH('PLACED &amp; SCHEDULED ORDERS'!$G$2:$G$11)=IF($C$3="July",7,IF($C$3="August",8,0)))))</f>
        <v>1</v>
      </c>
      <c r="C165" s="16">
        <f>SUMPRODUCT(('PLACED &amp; SCHEDULED ORDERS'!$F$2:$F$11=A165)*(($C$3="All")+(MONTH('PLACED &amp; SCHEDULED ORDERS'!$G$2:$G$11)=IF($C$3="July",7,IF($C$3="August",8,0))))*'PLACED &amp; SCHEDULED ORDERS'!$E$2:$E$11)</f>
        <v>190.38</v>
      </c>
      <c r="D165" s="17">
        <f t="shared" si="1"/>
        <v>190.38000165</v>
      </c>
    </row>
    <row r="168" spans="1:4" ht="15" customHeight="1">
      <c r="A168" s="15" t="s">
        <v>80</v>
      </c>
      <c r="B168" s="15" t="s">
        <v>65</v>
      </c>
      <c r="C168" s="15" t="s">
        <v>74</v>
      </c>
    </row>
    <row r="169" spans="1:4" ht="15" customHeight="1">
      <c r="A169" s="4" t="s">
        <v>16</v>
      </c>
      <c r="B169" s="4">
        <f>SUMPRODUCT(('ORDERS TAKEN OR GIVEN BACK'!$F$2:$F$11=A169)*(($C$3="All")+(MONTH('ORDERS TAKEN OR GIVEN BACK'!$G$2:$G$11)=IF($C$3="July",7,IF($C$3="August",8,0)))))</f>
        <v>1</v>
      </c>
      <c r="C169" s="16">
        <f>SUMPRODUCT(('ORDERS TAKEN OR GIVEN BACK'!$F$2:$F$11=A169)*(($C$3="All")+(MONTH('ORDERS TAKEN OR GIVEN BACK'!$G$2:$G$11)=IF($C$3="July",7,IF($C$3="August",8,0))))*'ORDERS TAKEN OR GIVEN BACK'!$E$2:$E$11)</f>
        <v>190.38</v>
      </c>
      <c r="D169" s="17">
        <f t="shared" ref="D169:D178" si="2">C169+ROW()/100000000</f>
        <v>190.38000169</v>
      </c>
    </row>
    <row r="170" spans="1:4" ht="15" customHeight="1">
      <c r="A170" s="4" t="s">
        <v>31</v>
      </c>
      <c r="B170" s="4">
        <f>SUMPRODUCT(('ORDERS TAKEN OR GIVEN BACK'!$F$2:$F$11=A170)*(($C$3="All")+(MONTH('ORDERS TAKEN OR GIVEN BACK'!$G$2:$G$11)=IF($C$3="July",7,IF($C$3="August",8,0)))))</f>
        <v>1</v>
      </c>
      <c r="C170" s="16">
        <f>SUMPRODUCT(('ORDERS TAKEN OR GIVEN BACK'!$F$2:$F$11=A170)*(($C$3="All")+(MONTH('ORDERS TAKEN OR GIVEN BACK'!$G$2:$G$11)=IF($C$3="July",7,IF($C$3="August",8,0))))*'ORDERS TAKEN OR GIVEN BACK'!$E$2:$E$11)</f>
        <v>253.84</v>
      </c>
      <c r="D170" s="17">
        <f t="shared" si="2"/>
        <v>253.84000170000002</v>
      </c>
    </row>
    <row r="171" spans="1:4" ht="15" customHeight="1">
      <c r="A171" s="4" t="s">
        <v>18</v>
      </c>
      <c r="B171" s="4">
        <f>SUMPRODUCT(('ORDERS TAKEN OR GIVEN BACK'!$F$2:$F$11=A171)*(($C$3="All")+(MONTH('ORDERS TAKEN OR GIVEN BACK'!$G$2:$G$11)=IF($C$3="July",7,IF($C$3="August",8,0)))))</f>
        <v>1</v>
      </c>
      <c r="C171" s="16">
        <f>SUMPRODUCT(('ORDERS TAKEN OR GIVEN BACK'!$F$2:$F$11=A171)*(($C$3="All")+(MONTH('ORDERS TAKEN OR GIVEN BACK'!$G$2:$G$11)=IF($C$3="July",7,IF($C$3="August",8,0))))*'ORDERS TAKEN OR GIVEN BACK'!$E$2:$E$11)</f>
        <v>126.92</v>
      </c>
      <c r="D171" s="17">
        <f t="shared" si="2"/>
        <v>126.92000171000001</v>
      </c>
    </row>
    <row r="172" spans="1:4" ht="15" customHeight="1">
      <c r="A172" s="4" t="s">
        <v>45</v>
      </c>
      <c r="B172" s="4">
        <f>SUMPRODUCT(('ORDERS TAKEN OR GIVEN BACK'!$F$2:$F$11=A172)*(($C$3="All")+(MONTH('ORDERS TAKEN OR GIVEN BACK'!$G$2:$G$11)=IF($C$3="July",7,IF($C$3="August",8,0)))))</f>
        <v>1</v>
      </c>
      <c r="C172" s="16">
        <f>SUMPRODUCT(('ORDERS TAKEN OR GIVEN BACK'!$F$2:$F$11=A172)*(($C$3="All")+(MONTH('ORDERS TAKEN OR GIVEN BACK'!$G$2:$G$11)=IF($C$3="July",7,IF($C$3="August",8,0))))*'ORDERS TAKEN OR GIVEN BACK'!$E$2:$E$11)</f>
        <v>190.38</v>
      </c>
      <c r="D172" s="17">
        <f t="shared" si="2"/>
        <v>190.38000172</v>
      </c>
    </row>
    <row r="173" spans="1:4" ht="15" customHeight="1">
      <c r="A173" s="4" t="s">
        <v>20</v>
      </c>
      <c r="B173" s="4">
        <f>SUMPRODUCT(('ORDERS TAKEN OR GIVEN BACK'!$F$2:$F$11=A173)*(($C$3="All")+(MONTH('ORDERS TAKEN OR GIVEN BACK'!$G$2:$G$11)=IF($C$3="July",7,IF($C$3="August",8,0)))))</f>
        <v>1</v>
      </c>
      <c r="C173" s="16">
        <f>SUMPRODUCT(('ORDERS TAKEN OR GIVEN BACK'!$F$2:$F$11=A173)*(($C$3="All")+(MONTH('ORDERS TAKEN OR GIVEN BACK'!$G$2:$G$11)=IF($C$3="July",7,IF($C$3="August",8,0))))*'ORDERS TAKEN OR GIVEN BACK'!$E$2:$E$11)</f>
        <v>253.84</v>
      </c>
      <c r="D173" s="17">
        <f t="shared" si="2"/>
        <v>253.84000173000001</v>
      </c>
    </row>
    <row r="174" spans="1:4" ht="15" customHeight="1">
      <c r="A174" s="4" t="s">
        <v>39</v>
      </c>
      <c r="B174" s="4">
        <f>SUMPRODUCT(('ORDERS TAKEN OR GIVEN BACK'!$F$2:$F$11=A174)*(($C$3="All")+(MONTH('ORDERS TAKEN OR GIVEN BACK'!$G$2:$G$11)=IF($C$3="July",7,IF($C$3="August",8,0)))))</f>
        <v>1</v>
      </c>
      <c r="C174" s="16">
        <f>SUMPRODUCT(('ORDERS TAKEN OR GIVEN BACK'!$F$2:$F$11=A174)*(($C$3="All")+(MONTH('ORDERS TAKEN OR GIVEN BACK'!$G$2:$G$11)=IF($C$3="July",7,IF($C$3="August",8,0))))*'ORDERS TAKEN OR GIVEN BACK'!$E$2:$E$11)</f>
        <v>190.38</v>
      </c>
      <c r="D174" s="17">
        <f t="shared" si="2"/>
        <v>190.38000173999998</v>
      </c>
    </row>
    <row r="175" spans="1:4" ht="15" customHeight="1">
      <c r="A175" s="4" t="s">
        <v>77</v>
      </c>
      <c r="B175" s="4">
        <f>SUMPRODUCT(('ORDERS TAKEN OR GIVEN BACK'!$F$2:$F$11=A175)*(($C$3="All")+(MONTH('ORDERS TAKEN OR GIVEN BACK'!$G$2:$G$11)=IF($C$3="July",7,IF($C$3="August",8,0)))))</f>
        <v>1</v>
      </c>
      <c r="C175" s="16">
        <f>SUMPRODUCT(('ORDERS TAKEN OR GIVEN BACK'!$F$2:$F$11=A175)*(($C$3="All")+(MONTH('ORDERS TAKEN OR GIVEN BACK'!$G$2:$G$11)=IF($C$3="July",7,IF($C$3="August",8,0))))*'ORDERS TAKEN OR GIVEN BACK'!$E$2:$E$11)</f>
        <v>253.84</v>
      </c>
      <c r="D175" s="17">
        <f t="shared" si="2"/>
        <v>253.84000175</v>
      </c>
    </row>
    <row r="176" spans="1:4" ht="15" customHeight="1">
      <c r="A176" s="4" t="s">
        <v>76</v>
      </c>
      <c r="B176" s="4">
        <f>SUMPRODUCT(('ORDERS TAKEN OR GIVEN BACK'!$F$2:$F$11=A176)*(($C$3="All")+(MONTH('ORDERS TAKEN OR GIVEN BACK'!$G$2:$G$11)=IF($C$3="July",7,IF($C$3="August",8,0)))))</f>
        <v>1</v>
      </c>
      <c r="C176" s="16">
        <f>SUMPRODUCT(('ORDERS TAKEN OR GIVEN BACK'!$F$2:$F$11=A176)*(($C$3="All")+(MONTH('ORDERS TAKEN OR GIVEN BACK'!$G$2:$G$11)=IF($C$3="July",7,IF($C$3="August",8,0))))*'ORDERS TAKEN OR GIVEN BACK'!$E$2:$E$11)</f>
        <v>126.92</v>
      </c>
      <c r="D176" s="17">
        <f t="shared" si="2"/>
        <v>126.92000176000001</v>
      </c>
    </row>
    <row r="177" spans="1:4" ht="15" customHeight="1">
      <c r="A177" s="4" t="s">
        <v>35</v>
      </c>
      <c r="B177" s="4">
        <f>SUMPRODUCT(('ORDERS TAKEN OR GIVEN BACK'!$F$2:$F$11=A177)*(($C$3="All")+(MONTH('ORDERS TAKEN OR GIVEN BACK'!$G$2:$G$11)=IF($C$3="July",7,IF($C$3="August",8,0)))))</f>
        <v>1</v>
      </c>
      <c r="C177" s="16">
        <f>SUMPRODUCT(('ORDERS TAKEN OR GIVEN BACK'!$F$2:$F$11=A177)*(($C$3="All")+(MONTH('ORDERS TAKEN OR GIVEN BACK'!$G$2:$G$11)=IF($C$3="July",7,IF($C$3="August",8,0))))*'ORDERS TAKEN OR GIVEN BACK'!$E$2:$E$11)</f>
        <v>190.38</v>
      </c>
      <c r="D177" s="17">
        <f t="shared" si="2"/>
        <v>190.38000177000001</v>
      </c>
    </row>
    <row r="178" spans="1:4" ht="15" customHeight="1">
      <c r="A178" s="4" t="s">
        <v>46</v>
      </c>
      <c r="B178" s="4">
        <f>SUMPRODUCT(('ORDERS TAKEN OR GIVEN BACK'!$F$2:$F$11=A178)*(($C$3="All")+(MONTH('ORDERS TAKEN OR GIVEN BACK'!$G$2:$G$11)=IF($C$3="July",7,IF($C$3="August",8,0)))))</f>
        <v>1</v>
      </c>
      <c r="C178" s="16">
        <f>SUMPRODUCT(('ORDERS TAKEN OR GIVEN BACK'!$F$2:$F$11=A178)*(($C$3="All")+(MONTH('ORDERS TAKEN OR GIVEN BACK'!$G$2:$G$11)=IF($C$3="July",7,IF($C$3="August",8,0))))*'ORDERS TAKEN OR GIVEN BACK'!$E$2:$E$11)</f>
        <v>253.84</v>
      </c>
      <c r="D178" s="17">
        <f t="shared" si="2"/>
        <v>253.84000177999999</v>
      </c>
    </row>
    <row r="181" spans="1:4" ht="15" customHeight="1">
      <c r="A181" s="15" t="s">
        <v>81</v>
      </c>
      <c r="B181" s="15" t="s">
        <v>65</v>
      </c>
      <c r="C181" s="15" t="s">
        <v>74</v>
      </c>
    </row>
    <row r="182" spans="1:4" ht="15" customHeight="1">
      <c r="A182" s="4" t="s">
        <v>16</v>
      </c>
      <c r="B182" s="4">
        <f>SUMPRODUCT(('SERVICE ON HOLD'!$F$2:$F$11=A182)*(($C$3="All")+(MONTH('SERVICE ON HOLD'!$G$2:$G$11)=IF($C$3="July",7,IF($C$3="August",8,0)))))</f>
        <v>1</v>
      </c>
      <c r="C182" s="16">
        <f>SUMPRODUCT(('SERVICE ON HOLD'!$F$2:$F$11=A182)*(($C$3="All")+(MONTH('SERVICE ON HOLD'!$G$2:$G$11)=IF($C$3="July",7,IF($C$3="August",8,0))))*'SERVICE ON HOLD'!$E$2:$E$11)</f>
        <v>190.38</v>
      </c>
      <c r="D182" s="17">
        <f t="shared" ref="D182:D191" si="3">C182+ROW()/100000000</f>
        <v>190.38000181999999</v>
      </c>
    </row>
    <row r="183" spans="1:4" ht="15" customHeight="1">
      <c r="A183" s="4" t="s">
        <v>31</v>
      </c>
      <c r="B183" s="4">
        <f>SUMPRODUCT(('SERVICE ON HOLD'!$F$2:$F$11=A183)*(($C$3="All")+(MONTH('SERVICE ON HOLD'!$G$2:$G$11)=IF($C$3="July",7,IF($C$3="August",8,0)))))</f>
        <v>1</v>
      </c>
      <c r="C183" s="16">
        <f>SUMPRODUCT(('SERVICE ON HOLD'!$F$2:$F$11=A183)*(($C$3="All")+(MONTH('SERVICE ON HOLD'!$G$2:$G$11)=IF($C$3="July",7,IF($C$3="August",8,0))))*'SERVICE ON HOLD'!$E$2:$E$11)</f>
        <v>253.84</v>
      </c>
      <c r="D183" s="17">
        <f t="shared" si="3"/>
        <v>253.84000183000001</v>
      </c>
    </row>
    <row r="184" spans="1:4" ht="15" customHeight="1">
      <c r="A184" s="4" t="s">
        <v>18</v>
      </c>
      <c r="B184" s="4">
        <f>SUMPRODUCT(('SERVICE ON HOLD'!$F$2:$F$11=A184)*(($C$3="All")+(MONTH('SERVICE ON HOLD'!$G$2:$G$11)=IF($C$3="July",7,IF($C$3="August",8,0)))))</f>
        <v>1</v>
      </c>
      <c r="C184" s="16">
        <f>SUMPRODUCT(('SERVICE ON HOLD'!$F$2:$F$11=A184)*(($C$3="All")+(MONTH('SERVICE ON HOLD'!$G$2:$G$11)=IF($C$3="July",7,IF($C$3="August",8,0))))*'SERVICE ON HOLD'!$E$2:$E$11)</f>
        <v>126.92</v>
      </c>
      <c r="D184" s="17">
        <f t="shared" si="3"/>
        <v>126.92000184</v>
      </c>
    </row>
    <row r="185" spans="1:4" ht="15" customHeight="1">
      <c r="A185" s="4" t="s">
        <v>45</v>
      </c>
      <c r="B185" s="4">
        <f>SUMPRODUCT(('SERVICE ON HOLD'!$F$2:$F$11=A185)*(($C$3="All")+(MONTH('SERVICE ON HOLD'!$G$2:$G$11)=IF($C$3="July",7,IF($C$3="August",8,0)))))</f>
        <v>1</v>
      </c>
      <c r="C185" s="16">
        <f>SUMPRODUCT(('SERVICE ON HOLD'!$F$2:$F$11=A185)*(($C$3="All")+(MONTH('SERVICE ON HOLD'!$G$2:$G$11)=IF($C$3="July",7,IF($C$3="August",8,0))))*'SERVICE ON HOLD'!$E$2:$E$11)</f>
        <v>190.38</v>
      </c>
      <c r="D185" s="17">
        <f t="shared" si="3"/>
        <v>190.38000184999999</v>
      </c>
    </row>
    <row r="186" spans="1:4" ht="15" customHeight="1">
      <c r="A186" s="4" t="s">
        <v>20</v>
      </c>
      <c r="B186" s="4">
        <f>SUMPRODUCT(('SERVICE ON HOLD'!$F$2:$F$11=A186)*(($C$3="All")+(MONTH('SERVICE ON HOLD'!$G$2:$G$11)=IF($C$3="July",7,IF($C$3="August",8,0)))))</f>
        <v>1</v>
      </c>
      <c r="C186" s="16">
        <f>SUMPRODUCT(('SERVICE ON HOLD'!$F$2:$F$11=A186)*(($C$3="All")+(MONTH('SERVICE ON HOLD'!$G$2:$G$11)=IF($C$3="July",7,IF($C$3="August",8,0))))*'SERVICE ON HOLD'!$E$2:$E$11)</f>
        <v>253.84</v>
      </c>
      <c r="D186" s="17">
        <f t="shared" si="3"/>
        <v>253.84000186</v>
      </c>
    </row>
    <row r="187" spans="1:4" ht="15" customHeight="1">
      <c r="A187" s="4" t="s">
        <v>39</v>
      </c>
      <c r="B187" s="4">
        <f>SUMPRODUCT(('SERVICE ON HOLD'!$F$2:$F$11=A187)*(($C$3="All")+(MONTH('SERVICE ON HOLD'!$G$2:$G$11)=IF($C$3="July",7,IF($C$3="August",8,0)))))</f>
        <v>1</v>
      </c>
      <c r="C187" s="16">
        <f>SUMPRODUCT(('SERVICE ON HOLD'!$F$2:$F$11=A187)*(($C$3="All")+(MONTH('SERVICE ON HOLD'!$G$2:$G$11)=IF($C$3="July",7,IF($C$3="August",8,0))))*'SERVICE ON HOLD'!$E$2:$E$11)</f>
        <v>190.38</v>
      </c>
      <c r="D187" s="17">
        <f t="shared" si="3"/>
        <v>190.38000187</v>
      </c>
    </row>
    <row r="188" spans="1:4" ht="15" customHeight="1">
      <c r="A188" s="4" t="s">
        <v>77</v>
      </c>
      <c r="B188" s="4">
        <f>SUMPRODUCT(('SERVICE ON HOLD'!$F$2:$F$11=A188)*(($C$3="All")+(MONTH('SERVICE ON HOLD'!$G$2:$G$11)=IF($C$3="July",7,IF($C$3="August",8,0)))))</f>
        <v>1</v>
      </c>
      <c r="C188" s="16">
        <f>SUMPRODUCT(('SERVICE ON HOLD'!$F$2:$F$11=A188)*(($C$3="All")+(MONTH('SERVICE ON HOLD'!$G$2:$G$11)=IF($C$3="July",7,IF($C$3="August",8,0))))*'SERVICE ON HOLD'!$E$2:$E$11)</f>
        <v>253.84</v>
      </c>
      <c r="D188" s="17">
        <f t="shared" si="3"/>
        <v>253.84000188000002</v>
      </c>
    </row>
    <row r="189" spans="1:4" ht="15" customHeight="1">
      <c r="A189" s="4" t="s">
        <v>76</v>
      </c>
      <c r="B189" s="4">
        <f>SUMPRODUCT(('SERVICE ON HOLD'!$F$2:$F$11=A189)*(($C$3="All")+(MONTH('SERVICE ON HOLD'!$G$2:$G$11)=IF($C$3="July",7,IF($C$3="August",8,0)))))</f>
        <v>1</v>
      </c>
      <c r="C189" s="16">
        <f>SUMPRODUCT(('SERVICE ON HOLD'!$F$2:$F$11=A189)*(($C$3="All")+(MONTH('SERVICE ON HOLD'!$G$2:$G$11)=IF($C$3="July",7,IF($C$3="August",8,0))))*'SERVICE ON HOLD'!$E$2:$E$11)</f>
        <v>126.92</v>
      </c>
      <c r="D189" s="17">
        <f t="shared" si="3"/>
        <v>126.92000188999999</v>
      </c>
    </row>
    <row r="190" spans="1:4" ht="15" customHeight="1">
      <c r="A190" s="4" t="s">
        <v>30</v>
      </c>
      <c r="B190" s="4">
        <f>SUMPRODUCT(('SERVICE ON HOLD'!$F$2:$F$11=A190)*(($C$3="All")+(MONTH('SERVICE ON HOLD'!$G$2:$G$11)=IF($C$3="July",7,IF($C$3="August",8,0)))))</f>
        <v>1</v>
      </c>
      <c r="C190" s="16">
        <f>SUMPRODUCT(('SERVICE ON HOLD'!$F$2:$F$11=A190)*(($C$3="All")+(MONTH('SERVICE ON HOLD'!$G$2:$G$11)=IF($C$3="July",7,IF($C$3="August",8,0))))*'SERVICE ON HOLD'!$E$2:$E$11)</f>
        <v>190.38</v>
      </c>
      <c r="D190" s="17">
        <f t="shared" si="3"/>
        <v>190.3800019</v>
      </c>
    </row>
    <row r="191" spans="1:4" ht="15" customHeight="1">
      <c r="A191" s="4" t="s">
        <v>46</v>
      </c>
      <c r="B191" s="4">
        <f>SUMPRODUCT(('SERVICE ON HOLD'!$F$2:$F$11=A191)*(($C$3="All")+(MONTH('SERVICE ON HOLD'!$G$2:$G$11)=IF($C$3="July",7,IF($C$3="August",8,0)))))</f>
        <v>1</v>
      </c>
      <c r="C191" s="16">
        <f>SUMPRODUCT(('SERVICE ON HOLD'!$F$2:$F$11=A191)*(($C$3="All")+(MONTH('SERVICE ON HOLD'!$G$2:$G$11)=IF($C$3="July",7,IF($C$3="August",8,0))))*'SERVICE ON HOLD'!$E$2:$E$11)</f>
        <v>190.38</v>
      </c>
      <c r="D191" s="17">
        <f t="shared" si="3"/>
        <v>190.38000191</v>
      </c>
    </row>
    <row r="193" spans="1:3" ht="15" customHeight="1">
      <c r="A193" s="14" t="s">
        <v>82</v>
      </c>
    </row>
    <row r="195" spans="1:3" ht="15" customHeight="1">
      <c r="A195" s="15" t="s">
        <v>83</v>
      </c>
      <c r="B195" s="15" t="s">
        <v>74</v>
      </c>
      <c r="C195" s="15" t="s">
        <v>65</v>
      </c>
    </row>
    <row r="196" spans="1:3" ht="15" customHeight="1">
      <c r="A196" s="4" t="str">
        <f>INDEX($A$135:$A$152,MATCH(LARGE($D$135:$D$152,1),$D$135:$D$152,0))</f>
        <v>Silverchain SA</v>
      </c>
      <c r="B196" s="16">
        <f>INDEX($C$135:$C$152,MATCH(LARGE($D$135:$D$152,1),$D$135:$D$152,0))</f>
        <v>14627.529999999979</v>
      </c>
      <c r="C196" s="4">
        <f>INDEX($B$135:$B$152,MATCH(LARGE($D$135:$D$152,1),$D$135:$D$152,0))</f>
        <v>75</v>
      </c>
    </row>
    <row r="197" spans="1:3" ht="15" customHeight="1">
      <c r="A197" s="4" t="str">
        <f>INDEX($A$135:$A$152,MATCH(LARGE($D$135:$D$152,2),$D$135:$D$152,0))</f>
        <v>Silverchain NSW</v>
      </c>
      <c r="B197" s="16">
        <f>INDEX($C$135:$C$152,MATCH(LARGE($D$135:$D$152,2),$D$135:$D$152,0))</f>
        <v>3712.4100000000008</v>
      </c>
      <c r="C197" s="4">
        <f>INDEX($B$135:$B$152,MATCH(LARGE($D$135:$D$152,2),$D$135:$D$152,0))</f>
        <v>17</v>
      </c>
    </row>
    <row r="198" spans="1:3" ht="15" customHeight="1">
      <c r="A198" s="4" t="str">
        <f>INDEX($A$135:$A$152,MATCH(LARGE($D$135:$D$152,3),$D$135:$D$152,0))</f>
        <v>Silverchain ACT</v>
      </c>
      <c r="B198" s="16">
        <f>INDEX($C$135:$C$152,MATCH(LARGE($D$135:$D$152,3),$D$135:$D$152,0))</f>
        <v>2719.5800000000004</v>
      </c>
      <c r="C198" s="4">
        <f>INDEX($B$135:$B$152,MATCH(LARGE($D$135:$D$152,3),$D$135:$D$152,0))</f>
        <v>14</v>
      </c>
    </row>
    <row r="199" spans="1:3" ht="15" customHeight="1">
      <c r="A199" s="4" t="str">
        <f>INDEX($A$135:$A$152,MATCH(LARGE($D$135:$D$152,4),$D$135:$D$152,0))</f>
        <v>Australian Unity</v>
      </c>
      <c r="B199" s="16">
        <f>INDEX($C$135:$C$152,MATCH(LARGE($D$135:$D$152,4),$D$135:$D$152,0))</f>
        <v>2030.72</v>
      </c>
      <c r="C199" s="4">
        <f>INDEX($B$135:$B$152,MATCH(LARGE($D$135:$D$152,4),$D$135:$D$152,0))</f>
        <v>9</v>
      </c>
    </row>
    <row r="200" spans="1:3" ht="15" customHeight="1">
      <c r="A200" s="4" t="str">
        <f>INDEX($A$135:$A$152,MATCH(LARGE($D$135:$D$152,5),$D$135:$D$152,0))</f>
        <v>Home CarIng</v>
      </c>
      <c r="B200" s="16">
        <f>INDEX($C$135:$C$152,MATCH(LARGE($D$135:$D$152,5),$D$135:$D$152,0))</f>
        <v>1318.6</v>
      </c>
      <c r="C200" s="4">
        <f>INDEX($B$135:$B$152,MATCH(LARGE($D$135:$D$152,5),$D$135:$D$152,0))</f>
        <v>2</v>
      </c>
    </row>
    <row r="201" spans="1:3" ht="15" customHeight="1">
      <c r="A201" s="4" t="str">
        <f>"Other ("&amp;COUNTA($A$135:$A$152)-5&amp;" clients)"</f>
        <v>Other (13 clients)</v>
      </c>
      <c r="B201" s="16">
        <f>SUM($C$135:$C$152)-SUM($B$196:$B$200)</f>
        <v>4897.5299999999988</v>
      </c>
      <c r="C201" s="4">
        <f>SUM($B$135:$B$152)-SUM($C$196:$C$200)</f>
        <v>24</v>
      </c>
    </row>
    <row r="204" spans="1:3" ht="15" customHeight="1">
      <c r="A204" s="15" t="s">
        <v>84</v>
      </c>
      <c r="B204" s="15" t="s">
        <v>74</v>
      </c>
      <c r="C204" s="15" t="s">
        <v>65</v>
      </c>
    </row>
    <row r="205" spans="1:3" ht="15" customHeight="1">
      <c r="A205" s="4" t="str">
        <f>INDEX($A$156:$A$165,MATCH(LARGE($D$156:$D$165,1),$D$156:$D$165,0))</f>
        <v>Australian Unity</v>
      </c>
      <c r="B205" s="16">
        <f>INDEX($C$156:$C$165,MATCH(LARGE($D$156:$D$165,1),$D$156:$D$165,0))</f>
        <v>380.76</v>
      </c>
      <c r="C205" s="4">
        <f>INDEX($B$156:$B$165,MATCH(LARGE($D$156:$D$165,1),$D$156:$D$165,0))</f>
        <v>1</v>
      </c>
    </row>
    <row r="206" spans="1:3" ht="15" customHeight="1">
      <c r="A206" s="4" t="str">
        <f>INDEX($A$156:$A$165,MATCH(LARGE($D$156:$D$165,2),$D$156:$D$165,0))</f>
        <v>Calvary Syd</v>
      </c>
      <c r="B206" s="16">
        <f>INDEX($C$156:$C$165,MATCH(LARGE($D$156:$D$165,2),$D$156:$D$165,0))</f>
        <v>253.84</v>
      </c>
      <c r="C206" s="4">
        <f>INDEX($B$156:$B$165,MATCH(LARGE($D$156:$D$165,2),$D$156:$D$165,0))</f>
        <v>1</v>
      </c>
    </row>
    <row r="207" spans="1:3" ht="15" customHeight="1">
      <c r="A207" s="4" t="str">
        <f>INDEX($A$156:$A$165,MATCH(LARGE($D$156:$D$165,3),$D$156:$D$165,0))</f>
        <v>GEN U</v>
      </c>
      <c r="B207" s="16">
        <f>INDEX($C$156:$C$165,MATCH(LARGE($D$156:$D$165,3),$D$156:$D$165,0))</f>
        <v>253.84</v>
      </c>
      <c r="C207" s="4">
        <f>INDEX($B$156:$B$165,MATCH(LARGE($D$156:$D$165,3),$D$156:$D$165,0))</f>
        <v>1</v>
      </c>
    </row>
    <row r="208" spans="1:3" ht="15" customHeight="1">
      <c r="A208" s="4" t="str">
        <f>INDEX($A$156:$A$165,MATCH(LARGE($D$156:$D$165,4),$D$156:$D$165,0))</f>
        <v>Bolton Clarke</v>
      </c>
      <c r="B208" s="16">
        <f>INDEX($C$156:$C$165,MATCH(LARGE($D$156:$D$165,4),$D$156:$D$165,0))</f>
        <v>253.84</v>
      </c>
      <c r="C208" s="4">
        <f>INDEX($B$156:$B$165,MATCH(LARGE($D$156:$D$165,4),$D$156:$D$165,0))</f>
        <v>1</v>
      </c>
    </row>
    <row r="209" spans="1:3" ht="15" customHeight="1">
      <c r="A209" s="4" t="str">
        <f>INDEX($A$156:$A$165,MATCH(LARGE($D$156:$D$165,5),$D$156:$D$165,0))</f>
        <v>Silverchain NSW</v>
      </c>
      <c r="B209" s="16">
        <f>INDEX($C$156:$C$165,MATCH(LARGE($D$156:$D$165,5),$D$156:$D$165,0))</f>
        <v>253.84</v>
      </c>
      <c r="C209" s="4">
        <f>INDEX($B$156:$B$165,MATCH(LARGE($D$156:$D$165,5),$D$156:$D$165,0))</f>
        <v>1</v>
      </c>
    </row>
    <row r="210" spans="1:3" ht="15" customHeight="1">
      <c r="A210" s="4" t="str">
        <f>"Other ("&amp;COUNTA($A$156:$A$165)-5&amp;" clients)"</f>
        <v>Other (5 clients)</v>
      </c>
      <c r="B210" s="16">
        <f>SUM($C$156:$C$165)-SUM($B$205:$B$209)</f>
        <v>888.44</v>
      </c>
      <c r="C210" s="4">
        <f>SUM($B$156:$B$165)-SUM($C$205:$C$209)</f>
        <v>5</v>
      </c>
    </row>
    <row r="213" spans="1:3" ht="15" customHeight="1">
      <c r="A213" s="15" t="s">
        <v>85</v>
      </c>
      <c r="B213" s="15" t="s">
        <v>74</v>
      </c>
      <c r="C213" s="15" t="s">
        <v>65</v>
      </c>
    </row>
    <row r="214" spans="1:3" ht="15" customHeight="1">
      <c r="A214" s="4" t="str">
        <f>INDEX($A$169:$A$178,MATCH(LARGE($D$169:$D$178,1),$D$169:$D$178,0))</f>
        <v>Goodwin</v>
      </c>
      <c r="B214" s="16">
        <f>INDEX($C$169:$C$178,MATCH(LARGE($D$169:$D$178,1),$D$169:$D$178,0))</f>
        <v>253.84</v>
      </c>
      <c r="C214" s="4">
        <f>INDEX($B$169:$B$178,MATCH(LARGE($D$169:$D$178,1),$D$169:$D$178,0))</f>
        <v>1</v>
      </c>
    </row>
    <row r="215" spans="1:3" ht="15" customHeight="1">
      <c r="A215" s="4" t="str">
        <f>INDEX($A$169:$A$178,MATCH(LARGE($D$169:$D$178,2),$D$169:$D$178,0))</f>
        <v>GEN U</v>
      </c>
      <c r="B215" s="16">
        <f>INDEX($C$169:$C$178,MATCH(LARGE($D$169:$D$178,2),$D$169:$D$178,0))</f>
        <v>253.84</v>
      </c>
      <c r="C215" s="4">
        <f>INDEX($B$169:$B$178,MATCH(LARGE($D$169:$D$178,2),$D$169:$D$178,0))</f>
        <v>1</v>
      </c>
    </row>
    <row r="216" spans="1:3" ht="15" customHeight="1">
      <c r="A216" s="4" t="str">
        <f>INDEX($A$169:$A$178,MATCH(LARGE($D$169:$D$178,3),$D$169:$D$178,0))</f>
        <v>Silverchain ACT</v>
      </c>
      <c r="B216" s="16">
        <f>INDEX($C$169:$C$178,MATCH(LARGE($D$169:$D$178,3),$D$169:$D$178,0))</f>
        <v>253.84</v>
      </c>
      <c r="C216" s="4">
        <f>INDEX($B$169:$B$178,MATCH(LARGE($D$169:$D$178,3),$D$169:$D$178,0))</f>
        <v>1</v>
      </c>
    </row>
    <row r="217" spans="1:3" ht="15" customHeight="1">
      <c r="A217" s="4" t="str">
        <f>INDEX($A$169:$A$178,MATCH(LARGE($D$169:$D$178,4),$D$169:$D$178,0))</f>
        <v>Calvary Melb</v>
      </c>
      <c r="B217" s="16">
        <f>INDEX($C$169:$C$178,MATCH(LARGE($D$169:$D$178,4),$D$169:$D$178,0))</f>
        <v>253.84</v>
      </c>
      <c r="C217" s="4">
        <f>INDEX($B$169:$B$178,MATCH(LARGE($D$169:$D$178,4),$D$169:$D$178,0))</f>
        <v>1</v>
      </c>
    </row>
    <row r="218" spans="1:3" ht="15" customHeight="1">
      <c r="A218" s="4" t="str">
        <f>INDEX($A$169:$A$178,MATCH(LARGE($D$169:$D$178,5),$D$169:$D$178,0))</f>
        <v>Calvary South Australia</v>
      </c>
      <c r="B218" s="16">
        <f>INDEX($C$169:$C$178,MATCH(LARGE($D$169:$D$178,5),$D$169:$D$178,0))</f>
        <v>190.38</v>
      </c>
      <c r="C218" s="4">
        <f>INDEX($B$169:$B$178,MATCH(LARGE($D$169:$D$178,5),$D$169:$D$178,0))</f>
        <v>1</v>
      </c>
    </row>
    <row r="219" spans="1:3" ht="15" customHeight="1">
      <c r="A219" s="4" t="str">
        <f>"Other ("&amp;COUNTA($A$169:$A$178)-5&amp;" clients)"</f>
        <v>Other (5 clients)</v>
      </c>
      <c r="B219" s="16">
        <f>SUM($C$169:$C$178)-SUM($B$214:$B$218)</f>
        <v>824.98</v>
      </c>
      <c r="C219" s="4">
        <f>SUM($B$169:$B$178)-SUM($C$214:$C$218)</f>
        <v>5</v>
      </c>
    </row>
    <row r="222" spans="1:3" ht="15" customHeight="1">
      <c r="A222" s="15" t="s">
        <v>86</v>
      </c>
      <c r="B222" s="15" t="s">
        <v>74</v>
      </c>
      <c r="C222" s="15" t="s">
        <v>65</v>
      </c>
    </row>
    <row r="223" spans="1:3" ht="15" customHeight="1">
      <c r="A223" s="4" t="str">
        <f>INDEX($A$182:$A$191,MATCH(LARGE($D$182:$D$191,1),$D$182:$D$191,0))</f>
        <v>GEN U</v>
      </c>
      <c r="B223" s="16">
        <f>INDEX($C$182:$C$191,MATCH(LARGE($D$182:$D$191,1),$D$182:$D$191,0))</f>
        <v>253.84</v>
      </c>
      <c r="C223" s="4">
        <f>INDEX($B$182:$B$191,MATCH(LARGE($D$182:$D$191,1),$D$182:$D$191,0))</f>
        <v>1</v>
      </c>
    </row>
    <row r="224" spans="1:3" ht="15" customHeight="1">
      <c r="A224" s="4" t="str">
        <f>INDEX($A$182:$A$191,MATCH(LARGE($D$182:$D$191,2),$D$182:$D$191,0))</f>
        <v>Silverchain ACT</v>
      </c>
      <c r="B224" s="16">
        <f>INDEX($C$182:$C$191,MATCH(LARGE($D$182:$D$191,2),$D$182:$D$191,0))</f>
        <v>253.84</v>
      </c>
      <c r="C224" s="4">
        <f>INDEX($B$182:$B$191,MATCH(LARGE($D$182:$D$191,2),$D$182:$D$191,0))</f>
        <v>1</v>
      </c>
    </row>
    <row r="225" spans="1:3" ht="15" customHeight="1">
      <c r="A225" s="4" t="str">
        <f>INDEX($A$182:$A$191,MATCH(LARGE($D$182:$D$191,3),$D$182:$D$191,0))</f>
        <v>Calvary Melb</v>
      </c>
      <c r="B225" s="16">
        <f>INDEX($C$182:$C$191,MATCH(LARGE($D$182:$D$191,3),$D$182:$D$191,0))</f>
        <v>253.84</v>
      </c>
      <c r="C225" s="4">
        <f>INDEX($B$182:$B$191,MATCH(LARGE($D$182:$D$191,3),$D$182:$D$191,0))</f>
        <v>1</v>
      </c>
    </row>
    <row r="226" spans="1:3" ht="15" customHeight="1">
      <c r="A226" s="4" t="str">
        <f>INDEX($A$182:$A$191,MATCH(LARGE($D$182:$D$191,4),$D$182:$D$191,0))</f>
        <v>Goodwin</v>
      </c>
      <c r="B226" s="16">
        <f>INDEX($C$182:$C$191,MATCH(LARGE($D$182:$D$191,4),$D$182:$D$191,0))</f>
        <v>190.38</v>
      </c>
      <c r="C226" s="4">
        <f>INDEX($B$182:$B$191,MATCH(LARGE($D$182:$D$191,4),$D$182:$D$191,0))</f>
        <v>1</v>
      </c>
    </row>
    <row r="227" spans="1:3" ht="15" customHeight="1">
      <c r="A227" s="4" t="str">
        <f>INDEX($A$182:$A$191,MATCH(LARGE($D$182:$D$191,5),$D$182:$D$191,0))</f>
        <v>Calvary Syd</v>
      </c>
      <c r="B227" s="16">
        <f>INDEX($C$182:$C$191,MATCH(LARGE($D$182:$D$191,5),$D$182:$D$191,0))</f>
        <v>190.38</v>
      </c>
      <c r="C227" s="4">
        <f>INDEX($B$182:$B$191,MATCH(LARGE($D$182:$D$191,5),$D$182:$D$191,0))</f>
        <v>1</v>
      </c>
    </row>
    <row r="228" spans="1:3" ht="15" customHeight="1">
      <c r="A228" s="4" t="str">
        <f>"Other ("&amp;COUNTA($A$182:$A$191)-5&amp;" clients)"</f>
        <v>Other (5 clients)</v>
      </c>
      <c r="B228" s="16">
        <f>SUM($C$182:$C$191)-SUM($B$223:$B$227)</f>
        <v>824.98000000000025</v>
      </c>
      <c r="C228" s="4">
        <f>SUM($B$182:$B$191)-SUM($C$223:$C$227)</f>
        <v>5</v>
      </c>
    </row>
    <row r="230" spans="1:3" ht="15" customHeight="1">
      <c r="A230" s="14" t="s">
        <v>87</v>
      </c>
    </row>
    <row r="231" spans="1:3" ht="15" customHeight="1">
      <c r="A231" s="18" t="s">
        <v>88</v>
      </c>
      <c r="B231" s="18" t="s">
        <v>89</v>
      </c>
      <c r="C231" s="18" t="s">
        <v>13</v>
      </c>
    </row>
    <row r="232" spans="1:3" ht="15" customHeight="1">
      <c r="A232" s="19" t="s">
        <v>90</v>
      </c>
      <c r="B232" s="19">
        <f>SUMPRODUCT(('NEW SERVICE &amp; RESUME REQUESTS'!$B$4:$B$995=A232)*('NEW SERVICE &amp; RESUME REQUESTS'!$C$4:$C$995="Placed &amp; Scheduled Orders")*(($C$3="All")+(MONTH('NEW SERVICE &amp; RESUME REQUESTS'!$G$4:$G$995)=IF($C$3="July",7,IF($C$3="August",8,0)))))+SUMPRODUCT(('PLACED &amp; SCHEDULED ORDERS'!$B$2:$B$995=A232)*('PLACED &amp; SCHEDULED ORDERS'!$C$2:$C$995="Placed &amp; Scheduled Orders")*(($C$3="All")+(MONTH('PLACED &amp; SCHEDULED ORDERS'!$G$2:$G$995)=IF($C$3="July",7,IF($C$3="August",8,0)))))+SUMPRODUCT(('ORDERS TAKEN OR GIVEN BACK'!$B$2:$B$995=A232)*('ORDERS TAKEN OR GIVEN BACK'!$C$2:$C$995="Placed &amp; Scheduled Orders")*(($C$3="All")+(MONTH('ORDERS TAKEN OR GIVEN BACK'!$G$2:$G$995)=IF($C$3="July",7,IF($C$3="August",8,0)))))+SUMPRODUCT(('SERVICE ON HOLD'!$B$2:$B$995=A232)*('SERVICE ON HOLD'!$C$2:$C$995="Placed &amp; Scheduled Orders")*(($C$3="All")+(MONTH('SERVICE ON HOLD'!$G$2:$G$995)=IF($C$3="July",7,IF($C$3="August",8,0)))))</f>
        <v>3</v>
      </c>
      <c r="C232" s="20">
        <f>SUMPRODUCT(('NEW SERVICE &amp; RESUME REQUESTS'!$B$4:$B$995=A232)*('NEW SERVICE &amp; RESUME REQUESTS'!$C$4:$C$995="Placed &amp; Scheduled Orders")*(($C$3="All")+(MONTH('NEW SERVICE &amp; RESUME REQUESTS'!$G$4:$G$995)=IF($C$3="July",7,IF($C$3="August",8,0))))*'NEW SERVICE &amp; RESUME REQUESTS'!$E$4:$E$995)+SUMPRODUCT(('PLACED &amp; SCHEDULED ORDERS'!$B$2:$B$995=A232)*('PLACED &amp; SCHEDULED ORDERS'!$C$2:$C$995="Placed &amp; Scheduled Orders")*(($C$3="All")+(MONTH('PLACED &amp; SCHEDULED ORDERS'!$G$2:$G$995)=IF($C$3="July",7,IF($C$3="August",8,0))))*'PLACED &amp; SCHEDULED ORDERS'!$E$2:$E$995)+SUMPRODUCT(('ORDERS TAKEN OR GIVEN BACK'!$B$2:$B$995=A232)*('ORDERS TAKEN OR GIVEN BACK'!$C$2:$C$995="Placed &amp; Scheduled Orders")*(($C$3="All")+(MONTH('ORDERS TAKEN OR GIVEN BACK'!$G$2:$G$995)=IF($C$3="July",7,IF($C$3="August",8,0))))*'ORDERS TAKEN OR GIVEN BACK'!$E$2:$E$995)+SUMPRODUCT(('SERVICE ON HOLD'!$B$2:$B$995=A232)*('SERVICE ON HOLD'!$C$2:$C$995="Placed &amp; Scheduled Orders")*(($C$3="All")+(MONTH('SERVICE ON HOLD'!$G$2:$G$995)=IF($C$3="July",7,IF($C$3="August",8,0))))*'SERVICE ON HOLD'!$E$2:$E$995)</f>
        <v>888.44</v>
      </c>
    </row>
    <row r="233" spans="1:3" ht="15" customHeight="1">
      <c r="A233" s="19" t="s">
        <v>91</v>
      </c>
      <c r="B233" s="19">
        <f>SUMPRODUCT(('NEW SERVICE &amp; RESUME REQUESTS'!$B$4:$B$995=A233)*('NEW SERVICE &amp; RESUME REQUESTS'!$C$4:$C$995="Placed &amp; Scheduled Orders")*(($C$3="All")+(MONTH('NEW SERVICE &amp; RESUME REQUESTS'!$G$4:$G$995)=IF($C$3="July",7,IF($C$3="August",8,0)))))+SUMPRODUCT(('PLACED &amp; SCHEDULED ORDERS'!$B$2:$B$995=A233)*('PLACED &amp; SCHEDULED ORDERS'!$C$2:$C$995="Placed &amp; Scheduled Orders")*(($C$3="All")+(MONTH('PLACED &amp; SCHEDULED ORDERS'!$G$2:$G$995)=IF($C$3="July",7,IF($C$3="August",8,0)))))+SUMPRODUCT(('ORDERS TAKEN OR GIVEN BACK'!$B$2:$B$995=A233)*('ORDERS TAKEN OR GIVEN BACK'!$C$2:$C$995="Placed &amp; Scheduled Orders")*(($C$3="All")+(MONTH('ORDERS TAKEN OR GIVEN BACK'!$G$2:$G$995)=IF($C$3="July",7,IF($C$3="August",8,0)))))+SUMPRODUCT(('SERVICE ON HOLD'!$B$2:$B$995=A233)*('SERVICE ON HOLD'!$C$2:$C$995="Placed &amp; Scheduled Orders")*(($C$3="All")+(MONTH('SERVICE ON HOLD'!$G$2:$G$995)=IF($C$3="July",7,IF($C$3="August",8,0)))))</f>
        <v>2</v>
      </c>
      <c r="C233" s="20">
        <f>SUMPRODUCT(('NEW SERVICE &amp; RESUME REQUESTS'!$B$4:$B$995=A233)*('NEW SERVICE &amp; RESUME REQUESTS'!$C$4:$C$995="Placed &amp; Scheduled Orders")*(($C$3="All")+(MONTH('NEW SERVICE &amp; RESUME REQUESTS'!$G$4:$G$995)=IF($C$3="July",7,IF($C$3="August",8,0))))*'NEW SERVICE &amp; RESUME REQUESTS'!$E$4:$E$995)+SUMPRODUCT(('PLACED &amp; SCHEDULED ORDERS'!$B$2:$B$995=A233)*('PLACED &amp; SCHEDULED ORDERS'!$C$2:$C$995="Placed &amp; Scheduled Orders")*(($C$3="All")+(MONTH('PLACED &amp; SCHEDULED ORDERS'!$G$2:$G$995)=IF($C$3="July",7,IF($C$3="August",8,0))))*'PLACED &amp; SCHEDULED ORDERS'!$E$2:$E$995)+SUMPRODUCT(('ORDERS TAKEN OR GIVEN BACK'!$B$2:$B$995=A233)*('ORDERS TAKEN OR GIVEN BACK'!$C$2:$C$995="Placed &amp; Scheduled Orders")*(($C$3="All")+(MONTH('ORDERS TAKEN OR GIVEN BACK'!$G$2:$G$995)=IF($C$3="July",7,IF($C$3="August",8,0))))*'ORDERS TAKEN OR GIVEN BACK'!$E$2:$E$995)+SUMPRODUCT(('SERVICE ON HOLD'!$B$2:$B$995=A233)*('SERVICE ON HOLD'!$C$2:$C$995="Placed &amp; Scheduled Orders")*(($C$3="All")+(MONTH('SERVICE ON HOLD'!$G$2:$G$995)=IF($C$3="July",7,IF($C$3="August",8,0))))*'SERVICE ON HOLD'!$E$2:$E$995)</f>
        <v>317.3</v>
      </c>
    </row>
    <row r="234" spans="1:3" ht="15" customHeight="1">
      <c r="A234" s="19" t="s">
        <v>92</v>
      </c>
      <c r="B234" s="19">
        <f>SUMPRODUCT(('NEW SERVICE &amp; RESUME REQUESTS'!$B$4:$B$995=A234)*('NEW SERVICE &amp; RESUME REQUESTS'!$C$4:$C$995="Placed &amp; Scheduled Orders")*(($C$3="All")+(MONTH('NEW SERVICE &amp; RESUME REQUESTS'!$G$4:$G$995)=IF($C$3="July",7,IF($C$3="August",8,0)))))+SUMPRODUCT(('PLACED &amp; SCHEDULED ORDERS'!$B$2:$B$995=A234)*('PLACED &amp; SCHEDULED ORDERS'!$C$2:$C$995="Placed &amp; Scheduled Orders")*(($C$3="All")+(MONTH('PLACED &amp; SCHEDULED ORDERS'!$G$2:$G$995)=IF($C$3="July",7,IF($C$3="August",8,0)))))+SUMPRODUCT(('ORDERS TAKEN OR GIVEN BACK'!$B$2:$B$995=A234)*('ORDERS TAKEN OR GIVEN BACK'!$C$2:$C$995="Placed &amp; Scheduled Orders")*(($C$3="All")+(MONTH('ORDERS TAKEN OR GIVEN BACK'!$G$2:$G$995)=IF($C$3="July",7,IF($C$3="August",8,0)))))+SUMPRODUCT(('SERVICE ON HOLD'!$B$2:$B$995=A234)*('SERVICE ON HOLD'!$C$2:$C$995="Placed &amp; Scheduled Orders")*(($C$3="All")+(MONTH('SERVICE ON HOLD'!$G$2:$G$995)=IF($C$3="July",7,IF($C$3="August",8,0)))))</f>
        <v>2</v>
      </c>
      <c r="C234" s="20">
        <f>SUMPRODUCT(('NEW SERVICE &amp; RESUME REQUESTS'!$B$4:$B$995=A234)*('NEW SERVICE &amp; RESUME REQUESTS'!$C$4:$C$995="Placed &amp; Scheduled Orders")*(($C$3="All")+(MONTH('NEW SERVICE &amp; RESUME REQUESTS'!$G$4:$G$995)=IF($C$3="July",7,IF($C$3="August",8,0))))*'NEW SERVICE &amp; RESUME REQUESTS'!$E$4:$E$995)+SUMPRODUCT(('PLACED &amp; SCHEDULED ORDERS'!$B$2:$B$995=A234)*('PLACED &amp; SCHEDULED ORDERS'!$C$2:$C$995="Placed &amp; Scheduled Orders")*(($C$3="All")+(MONTH('PLACED &amp; SCHEDULED ORDERS'!$G$2:$G$995)=IF($C$3="July",7,IF($C$3="August",8,0))))*'PLACED &amp; SCHEDULED ORDERS'!$E$2:$E$995)+SUMPRODUCT(('ORDERS TAKEN OR GIVEN BACK'!$B$2:$B$995=A234)*('ORDERS TAKEN OR GIVEN BACK'!$C$2:$C$995="Placed &amp; Scheduled Orders")*(($C$3="All")+(MONTH('ORDERS TAKEN OR GIVEN BACK'!$G$2:$G$995)=IF($C$3="July",7,IF($C$3="August",8,0))))*'ORDERS TAKEN OR GIVEN BACK'!$E$2:$E$995)+SUMPRODUCT(('SERVICE ON HOLD'!$B$2:$B$995=A234)*('SERVICE ON HOLD'!$C$2:$C$995="Placed &amp; Scheduled Orders")*(($C$3="All")+(MONTH('SERVICE ON HOLD'!$G$2:$G$995)=IF($C$3="July",7,IF($C$3="August",8,0))))*'SERVICE ON HOLD'!$E$2:$E$995)</f>
        <v>444.22</v>
      </c>
    </row>
    <row r="235" spans="1:3" ht="15" customHeight="1">
      <c r="A235" s="19" t="s">
        <v>93</v>
      </c>
      <c r="B235" s="19">
        <f>SUMPRODUCT(('NEW SERVICE &amp; RESUME REQUESTS'!$B$4:$B$995=A235)*('NEW SERVICE &amp; RESUME REQUESTS'!$C$4:$C$995="Placed &amp; Scheduled Orders")*(($C$3="All")+(MONTH('NEW SERVICE &amp; RESUME REQUESTS'!$G$4:$G$995)=IF($C$3="July",7,IF($C$3="August",8,0)))))+SUMPRODUCT(('PLACED &amp; SCHEDULED ORDERS'!$B$2:$B$995=A235)*('PLACED &amp; SCHEDULED ORDERS'!$C$2:$C$995="Placed &amp; Scheduled Orders")*(($C$3="All")+(MONTH('PLACED &amp; SCHEDULED ORDERS'!$G$2:$G$995)=IF($C$3="July",7,IF($C$3="August",8,0)))))+SUMPRODUCT(('ORDERS TAKEN OR GIVEN BACK'!$B$2:$B$995=A235)*('ORDERS TAKEN OR GIVEN BACK'!$C$2:$C$995="Placed &amp; Scheduled Orders")*(($C$3="All")+(MONTH('ORDERS TAKEN OR GIVEN BACK'!$G$2:$G$995)=IF($C$3="July",7,IF($C$3="August",8,0)))))+SUMPRODUCT(('SERVICE ON HOLD'!$B$2:$B$995=A235)*('SERVICE ON HOLD'!$C$2:$C$995="Placed &amp; Scheduled Orders")*(($C$3="All")+(MONTH('SERVICE ON HOLD'!$G$2:$G$995)=IF($C$3="July",7,IF($C$3="August",8,0)))))</f>
        <v>2</v>
      </c>
      <c r="C235" s="20">
        <f>SUMPRODUCT(('NEW SERVICE &amp; RESUME REQUESTS'!$B$4:$B$995=A235)*('NEW SERVICE &amp; RESUME REQUESTS'!$C$4:$C$995="Placed &amp; Scheduled Orders")*(($C$3="All")+(MONTH('NEW SERVICE &amp; RESUME REQUESTS'!$G$4:$G$995)=IF($C$3="July",7,IF($C$3="August",8,0))))*'NEW SERVICE &amp; RESUME REQUESTS'!$E$4:$E$995)+SUMPRODUCT(('PLACED &amp; SCHEDULED ORDERS'!$B$2:$B$995=A235)*('PLACED &amp; SCHEDULED ORDERS'!$C$2:$C$995="Placed &amp; Scheduled Orders")*(($C$3="All")+(MONTH('PLACED &amp; SCHEDULED ORDERS'!$G$2:$G$995)=IF($C$3="July",7,IF($C$3="August",8,0))))*'PLACED &amp; SCHEDULED ORDERS'!$E$2:$E$995)+SUMPRODUCT(('ORDERS TAKEN OR GIVEN BACK'!$B$2:$B$995=A235)*('ORDERS TAKEN OR GIVEN BACK'!$C$2:$C$995="Placed &amp; Scheduled Orders")*(($C$3="All")+(MONTH('ORDERS TAKEN OR GIVEN BACK'!$G$2:$G$995)=IF($C$3="July",7,IF($C$3="August",8,0))))*'ORDERS TAKEN OR GIVEN BACK'!$E$2:$E$995)+SUMPRODUCT(('SERVICE ON HOLD'!$B$2:$B$995=A235)*('SERVICE ON HOLD'!$C$2:$C$995="Placed &amp; Scheduled Orders")*(($C$3="All")+(MONTH('SERVICE ON HOLD'!$G$2:$G$995)=IF($C$3="July",7,IF($C$3="August",8,0))))*'SERVICE ON HOLD'!$E$2:$E$995)</f>
        <v>444.22</v>
      </c>
    </row>
    <row r="236" spans="1:3" ht="15" customHeight="1">
      <c r="A236" s="19" t="s">
        <v>94</v>
      </c>
      <c r="B236" s="19">
        <f>SUMPRODUCT(('NEW SERVICE &amp; RESUME REQUESTS'!$B$4:$B$995=A236)*('NEW SERVICE &amp; RESUME REQUESTS'!$C$4:$C$995="Placed &amp; Scheduled Orders")*(($C$3="All")+(MONTH('NEW SERVICE &amp; RESUME REQUESTS'!$G$4:$G$995)=IF($C$3="July",7,IF($C$3="August",8,0)))))+SUMPRODUCT(('PLACED &amp; SCHEDULED ORDERS'!$B$2:$B$995=A236)*('PLACED &amp; SCHEDULED ORDERS'!$C$2:$C$995="Placed &amp; Scheduled Orders")*(($C$3="All")+(MONTH('PLACED &amp; SCHEDULED ORDERS'!$G$2:$G$995)=IF($C$3="July",7,IF($C$3="August",8,0)))))+SUMPRODUCT(('ORDERS TAKEN OR GIVEN BACK'!$B$2:$B$995=A236)*('ORDERS TAKEN OR GIVEN BACK'!$C$2:$C$995="Placed &amp; Scheduled Orders")*(($C$3="All")+(MONTH('ORDERS TAKEN OR GIVEN BACK'!$G$2:$G$995)=IF($C$3="July",7,IF($C$3="August",8,0)))))+SUMPRODUCT(('SERVICE ON HOLD'!$B$2:$B$995=A236)*('SERVICE ON HOLD'!$C$2:$C$995="Placed &amp; Scheduled Orders")*(($C$3="All")+(MONTH('SERVICE ON HOLD'!$G$2:$G$995)=IF($C$3="July",7,IF($C$3="August",8,0)))))</f>
        <v>1</v>
      </c>
      <c r="C236" s="20">
        <f>SUMPRODUCT(('NEW SERVICE &amp; RESUME REQUESTS'!$B$4:$B$995=A236)*('NEW SERVICE &amp; RESUME REQUESTS'!$C$4:$C$995="Placed &amp; Scheduled Orders")*(($C$3="All")+(MONTH('NEW SERVICE &amp; RESUME REQUESTS'!$G$4:$G$995)=IF($C$3="July",7,IF($C$3="August",8,0))))*'NEW SERVICE &amp; RESUME REQUESTS'!$E$4:$E$995)+SUMPRODUCT(('PLACED &amp; SCHEDULED ORDERS'!$B$2:$B$995=A236)*('PLACED &amp; SCHEDULED ORDERS'!$C$2:$C$995="Placed &amp; Scheduled Orders")*(($C$3="All")+(MONTH('PLACED &amp; SCHEDULED ORDERS'!$G$2:$G$995)=IF($C$3="July",7,IF($C$3="August",8,0))))*'PLACED &amp; SCHEDULED ORDERS'!$E$2:$E$995)+SUMPRODUCT(('ORDERS TAKEN OR GIVEN BACK'!$B$2:$B$995=A236)*('ORDERS TAKEN OR GIVEN BACK'!$C$2:$C$995="Placed &amp; Scheduled Orders")*(($C$3="All")+(MONTH('ORDERS TAKEN OR GIVEN BACK'!$G$2:$G$995)=IF($C$3="July",7,IF($C$3="August",8,0))))*'ORDERS TAKEN OR GIVEN BACK'!$E$2:$E$995)+SUMPRODUCT(('SERVICE ON HOLD'!$B$2:$B$995=A236)*('SERVICE ON HOLD'!$C$2:$C$995="Placed &amp; Scheduled Orders")*(($C$3="All")+(MONTH('SERVICE ON HOLD'!$G$2:$G$995)=IF($C$3="July",7,IF($C$3="August",8,0))))*'SERVICE ON HOLD'!$E$2:$E$995)</f>
        <v>190.38</v>
      </c>
    </row>
    <row r="237" spans="1:3" ht="15" customHeight="1">
      <c r="A237" s="19" t="s">
        <v>95</v>
      </c>
      <c r="B237" s="19">
        <f>SUMPRODUCT(('NEW SERVICE &amp; RESUME REQUESTS'!$B$4:$B$995=A237)*('NEW SERVICE &amp; RESUME REQUESTS'!$C$4:$C$995="Placed &amp; Scheduled Orders")*(($C$3="All")+(MONTH('NEW SERVICE &amp; RESUME REQUESTS'!$G$4:$G$995)=IF($C$3="July",7,IF($C$3="August",8,0)))))+SUMPRODUCT(('PLACED &amp; SCHEDULED ORDERS'!$B$2:$B$995=A237)*('PLACED &amp; SCHEDULED ORDERS'!$C$2:$C$995="Placed &amp; Scheduled Orders")*(($C$3="All")+(MONTH('PLACED &amp; SCHEDULED ORDERS'!$G$2:$G$995)=IF($C$3="July",7,IF($C$3="August",8,0)))))+SUMPRODUCT(('ORDERS TAKEN OR GIVEN BACK'!$B$2:$B$995=A237)*('ORDERS TAKEN OR GIVEN BACK'!$C$2:$C$995="Placed &amp; Scheduled Orders")*(($C$3="All")+(MONTH('ORDERS TAKEN OR GIVEN BACK'!$G$2:$G$995)=IF($C$3="July",7,IF($C$3="August",8,0)))))+SUMPRODUCT(('SERVICE ON HOLD'!$B$2:$B$995=A237)*('SERVICE ON HOLD'!$C$2:$C$995="Placed &amp; Scheduled Orders")*(($C$3="All")+(MONTH('SERVICE ON HOLD'!$G$2:$G$995)=IF($C$3="July",7,IF($C$3="August",8,0)))))</f>
        <v>0</v>
      </c>
      <c r="C237" s="20">
        <f>SUMPRODUCT(('NEW SERVICE &amp; RESUME REQUESTS'!$B$4:$B$995=A237)*('NEW SERVICE &amp; RESUME REQUESTS'!$C$4:$C$995="Placed &amp; Scheduled Orders")*(($C$3="All")+(MONTH('NEW SERVICE &amp; RESUME REQUESTS'!$G$4:$G$995)=IF($C$3="July",7,IF($C$3="August",8,0))))*'NEW SERVICE &amp; RESUME REQUESTS'!$E$4:$E$995)+SUMPRODUCT(('PLACED &amp; SCHEDULED ORDERS'!$B$2:$B$995=A237)*('PLACED &amp; SCHEDULED ORDERS'!$C$2:$C$995="Placed &amp; Scheduled Orders")*(($C$3="All")+(MONTH('PLACED &amp; SCHEDULED ORDERS'!$G$2:$G$995)=IF($C$3="July",7,IF($C$3="August",8,0))))*'PLACED &amp; SCHEDULED ORDERS'!$E$2:$E$995)+SUMPRODUCT(('ORDERS TAKEN OR GIVEN BACK'!$B$2:$B$995=A237)*('ORDERS TAKEN OR GIVEN BACK'!$C$2:$C$995="Placed &amp; Scheduled Orders")*(($C$3="All")+(MONTH('ORDERS TAKEN OR GIVEN BACK'!$G$2:$G$995)=IF($C$3="July",7,IF($C$3="August",8,0))))*'ORDERS TAKEN OR GIVEN BACK'!$E$2:$E$995)+SUMPRODUCT(('SERVICE ON HOLD'!$B$2:$B$995=A237)*('SERVICE ON HOLD'!$C$2:$C$995="Placed &amp; Scheduled Orders")*(($C$3="All")+(MONTH('SERVICE ON HOLD'!$G$2:$G$995)=IF($C$3="July",7,IF($C$3="August",8,0))))*'SERVICE ON HOLD'!$E$2:$E$995)</f>
        <v>0</v>
      </c>
    </row>
    <row r="238" spans="1:3" ht="15" customHeight="1">
      <c r="A238" s="19" t="s">
        <v>96</v>
      </c>
      <c r="B238" s="19">
        <f>SUMPRODUCT(('NEW SERVICE &amp; RESUME REQUESTS'!$B$4:$B$995=A238)*('NEW SERVICE &amp; RESUME REQUESTS'!$C$4:$C$995="Placed &amp; Scheduled Orders")*(($C$3="All")+(MONTH('NEW SERVICE &amp; RESUME REQUESTS'!$G$4:$G$995)=IF($C$3="July",7,IF($C$3="August",8,0)))))+SUMPRODUCT(('PLACED &amp; SCHEDULED ORDERS'!$B$2:$B$995=A238)*('PLACED &amp; SCHEDULED ORDERS'!$C$2:$C$995="Placed &amp; Scheduled Orders")*(($C$3="All")+(MONTH('PLACED &amp; SCHEDULED ORDERS'!$G$2:$G$995)=IF($C$3="July",7,IF($C$3="August",8,0)))))+SUMPRODUCT(('ORDERS TAKEN OR GIVEN BACK'!$B$2:$B$995=A238)*('ORDERS TAKEN OR GIVEN BACK'!$C$2:$C$995="Placed &amp; Scheduled Orders")*(($C$3="All")+(MONTH('ORDERS TAKEN OR GIVEN BACK'!$G$2:$G$995)=IF($C$3="July",7,IF($C$3="August",8,0)))))+SUMPRODUCT(('SERVICE ON HOLD'!$B$2:$B$995=A238)*('SERVICE ON HOLD'!$C$2:$C$995="Placed &amp; Scheduled Orders")*(($C$3="All")+(MONTH('SERVICE ON HOLD'!$G$2:$G$995)=IF($C$3="July",7,IF($C$3="August",8,0)))))</f>
        <v>0</v>
      </c>
      <c r="C238" s="20">
        <f>SUMPRODUCT(('NEW SERVICE &amp; RESUME REQUESTS'!$B$4:$B$995=A238)*('NEW SERVICE &amp; RESUME REQUESTS'!$C$4:$C$995="Placed &amp; Scheduled Orders")*(($C$3="All")+(MONTH('NEW SERVICE &amp; RESUME REQUESTS'!$G$4:$G$995)=IF($C$3="July",7,IF($C$3="August",8,0))))*'NEW SERVICE &amp; RESUME REQUESTS'!$E$4:$E$995)+SUMPRODUCT(('PLACED &amp; SCHEDULED ORDERS'!$B$2:$B$995=A238)*('PLACED &amp; SCHEDULED ORDERS'!$C$2:$C$995="Placed &amp; Scheduled Orders")*(($C$3="All")+(MONTH('PLACED &amp; SCHEDULED ORDERS'!$G$2:$G$995)=IF($C$3="July",7,IF($C$3="August",8,0))))*'PLACED &amp; SCHEDULED ORDERS'!$E$2:$E$995)+SUMPRODUCT(('ORDERS TAKEN OR GIVEN BACK'!$B$2:$B$995=A238)*('ORDERS TAKEN OR GIVEN BACK'!$C$2:$C$995="Placed &amp; Scheduled Orders")*(($C$3="All")+(MONTH('ORDERS TAKEN OR GIVEN BACK'!$G$2:$G$995)=IF($C$3="July",7,IF($C$3="August",8,0))))*'ORDERS TAKEN OR GIVEN BACK'!$E$2:$E$995)+SUMPRODUCT(('SERVICE ON HOLD'!$B$2:$B$995=A238)*('SERVICE ON HOLD'!$C$2:$C$995="Placed &amp; Scheduled Orders")*(($C$3="All")+(MONTH('SERVICE ON HOLD'!$G$2:$G$995)=IF($C$3="July",7,IF($C$3="August",8,0))))*'SERVICE ON HOLD'!$E$2:$E$995)</f>
        <v>0</v>
      </c>
    </row>
    <row r="240" spans="1:3" ht="15" customHeight="1">
      <c r="A240" s="14" t="s">
        <v>97</v>
      </c>
    </row>
    <row r="241" spans="1:3" ht="15" customHeight="1">
      <c r="A241" s="18" t="s">
        <v>88</v>
      </c>
      <c r="B241" s="18" t="s">
        <v>89</v>
      </c>
      <c r="C241" s="18" t="s">
        <v>13</v>
      </c>
    </row>
    <row r="242" spans="1:3" ht="15" customHeight="1">
      <c r="A242" s="19" t="s">
        <v>90</v>
      </c>
      <c r="B242" s="19">
        <f>SUMPRODUCT(('NEW SERVICE &amp; RESUME REQUESTS'!$B$4:$B$995=A242)*('NEW SERVICE &amp; RESUME REQUESTS'!$C$4:$C$995="Orders Taken or Given Back")*(($C$3="All")+(MONTH('NEW SERVICE &amp; RESUME REQUESTS'!$G$4:$G$995)=IF($C$3="July",7,IF($C$3="August",8,0)))))+SUMPRODUCT(('PLACED &amp; SCHEDULED ORDERS'!$B$2:$B$995=A242)*('PLACED &amp; SCHEDULED ORDERS'!$C$2:$C$995="Orders Taken or Given Back")*(($C$3="All")+(MONTH('PLACED &amp; SCHEDULED ORDERS'!$G$2:$G$995)=IF($C$3="July",7,IF($C$3="August",8,0)))))+SUMPRODUCT(('ORDERS TAKEN OR GIVEN BACK'!$B$2:$B$995=A242)*('ORDERS TAKEN OR GIVEN BACK'!$C$2:$C$995="Orders Taken or Given Back")*(($C$3="All")+(MONTH('ORDERS TAKEN OR GIVEN BACK'!$G$2:$G$995)=IF($C$3="July",7,IF($C$3="August",8,0)))))+SUMPRODUCT(('SERVICE ON HOLD'!$B$2:$B$995=A242)*('SERVICE ON HOLD'!$C$2:$C$995="Orders Taken or Given Back")*(($C$3="All")+(MONTH('SERVICE ON HOLD'!$G$2:$G$995)=IF($C$3="July",7,IF($C$3="August",8,0)))))</f>
        <v>2</v>
      </c>
      <c r="C242" s="20">
        <f>SUMPRODUCT(('NEW SERVICE &amp; RESUME REQUESTS'!$B$4:$B$995=A242)*('NEW SERVICE &amp; RESUME REQUESTS'!$C$4:$C$995="Orders Taken or Given Back")*(($C$3="All")+(MONTH('NEW SERVICE &amp; RESUME REQUESTS'!$G$4:$G$995)=IF($C$3="July",7,IF($C$3="August",8,0))))*'NEW SERVICE &amp; RESUME REQUESTS'!$E$4:$E$995)+SUMPRODUCT(('PLACED &amp; SCHEDULED ORDERS'!$B$2:$B$995=A242)*('PLACED &amp; SCHEDULED ORDERS'!$C$2:$C$995="Orders Taken or Given Back")*(($C$3="All")+(MONTH('PLACED &amp; SCHEDULED ORDERS'!$G$2:$G$995)=IF($C$3="July",7,IF($C$3="August",8,0))))*'PLACED &amp; SCHEDULED ORDERS'!$E$2:$E$995)+SUMPRODUCT(('ORDERS TAKEN OR GIVEN BACK'!$B$2:$B$995=A242)*('ORDERS TAKEN OR GIVEN BACK'!$C$2:$C$995="Orders Taken or Given Back")*(($C$3="All")+(MONTH('ORDERS TAKEN OR GIVEN BACK'!$G$2:$G$995)=IF($C$3="July",7,IF($C$3="August",8,0))))*'ORDERS TAKEN OR GIVEN BACK'!$E$2:$E$995)+SUMPRODUCT(('SERVICE ON HOLD'!$B$2:$B$995=A242)*('SERVICE ON HOLD'!$C$2:$C$995="Orders Taken or Given Back")*(($C$3="All")+(MONTH('SERVICE ON HOLD'!$G$2:$G$995)=IF($C$3="July",7,IF($C$3="August",8,0))))*'SERVICE ON HOLD'!$E$2:$E$995)</f>
        <v>380.76</v>
      </c>
    </row>
    <row r="243" spans="1:3" ht="15" customHeight="1">
      <c r="A243" s="19" t="s">
        <v>91</v>
      </c>
      <c r="B243" s="19">
        <f>SUMPRODUCT(('NEW SERVICE &amp; RESUME REQUESTS'!$B$4:$B$995=A243)*('NEW SERVICE &amp; RESUME REQUESTS'!$C$4:$C$995="Orders Taken or Given Back")*(($C$3="All")+(MONTH('NEW SERVICE &amp; RESUME REQUESTS'!$G$4:$G$995)=IF($C$3="July",7,IF($C$3="August",8,0)))))+SUMPRODUCT(('PLACED &amp; SCHEDULED ORDERS'!$B$2:$B$995=A243)*('PLACED &amp; SCHEDULED ORDERS'!$C$2:$C$995="Orders Taken or Given Back")*(($C$3="All")+(MONTH('PLACED &amp; SCHEDULED ORDERS'!$G$2:$G$995)=IF($C$3="July",7,IF($C$3="August",8,0)))))+SUMPRODUCT(('ORDERS TAKEN OR GIVEN BACK'!$B$2:$B$995=A243)*('ORDERS TAKEN OR GIVEN BACK'!$C$2:$C$995="Orders Taken or Given Back")*(($C$3="All")+(MONTH('ORDERS TAKEN OR GIVEN BACK'!$G$2:$G$995)=IF($C$3="July",7,IF($C$3="August",8,0)))))+SUMPRODUCT(('SERVICE ON HOLD'!$B$2:$B$995=A243)*('SERVICE ON HOLD'!$C$2:$C$995="Orders Taken or Given Back")*(($C$3="All")+(MONTH('SERVICE ON HOLD'!$G$2:$G$995)=IF($C$3="July",7,IF($C$3="August",8,0)))))</f>
        <v>2</v>
      </c>
      <c r="C243" s="20">
        <f>SUMPRODUCT(('NEW SERVICE &amp; RESUME REQUESTS'!$B$4:$B$995=A243)*('NEW SERVICE &amp; RESUME REQUESTS'!$C$4:$C$995="Orders Taken or Given Back")*(($C$3="All")+(MONTH('NEW SERVICE &amp; RESUME REQUESTS'!$G$4:$G$995)=IF($C$3="July",7,IF($C$3="August",8,0))))*'NEW SERVICE &amp; RESUME REQUESTS'!$E$4:$E$995)+SUMPRODUCT(('PLACED &amp; SCHEDULED ORDERS'!$B$2:$B$995=A243)*('PLACED &amp; SCHEDULED ORDERS'!$C$2:$C$995="Orders Taken or Given Back")*(($C$3="All")+(MONTH('PLACED &amp; SCHEDULED ORDERS'!$G$2:$G$995)=IF($C$3="July",7,IF($C$3="August",8,0))))*'PLACED &amp; SCHEDULED ORDERS'!$E$2:$E$995)+SUMPRODUCT(('ORDERS TAKEN OR GIVEN BACK'!$B$2:$B$995=A243)*('ORDERS TAKEN OR GIVEN BACK'!$C$2:$C$995="Orders Taken or Given Back")*(($C$3="All")+(MONTH('ORDERS TAKEN OR GIVEN BACK'!$G$2:$G$995)=IF($C$3="July",7,IF($C$3="August",8,0))))*'ORDERS TAKEN OR GIVEN BACK'!$E$2:$E$995)+SUMPRODUCT(('SERVICE ON HOLD'!$B$2:$B$995=A243)*('SERVICE ON HOLD'!$C$2:$C$995="Orders Taken or Given Back")*(($C$3="All")+(MONTH('SERVICE ON HOLD'!$G$2:$G$995)=IF($C$3="July",7,IF($C$3="August",8,0))))*'SERVICE ON HOLD'!$E$2:$E$995)</f>
        <v>507.68</v>
      </c>
    </row>
    <row r="244" spans="1:3" ht="15" customHeight="1">
      <c r="A244" s="19" t="s">
        <v>92</v>
      </c>
      <c r="B244" s="19">
        <f>SUMPRODUCT(('NEW SERVICE &amp; RESUME REQUESTS'!$B$4:$B$995=A244)*('NEW SERVICE &amp; RESUME REQUESTS'!$C$4:$C$995="Orders Taken or Given Back")*(($C$3="All")+(MONTH('NEW SERVICE &amp; RESUME REQUESTS'!$G$4:$G$995)=IF($C$3="July",7,IF($C$3="August",8,0)))))+SUMPRODUCT(('PLACED &amp; SCHEDULED ORDERS'!$B$2:$B$995=A244)*('PLACED &amp; SCHEDULED ORDERS'!$C$2:$C$995="Orders Taken or Given Back")*(($C$3="All")+(MONTH('PLACED &amp; SCHEDULED ORDERS'!$G$2:$G$995)=IF($C$3="July",7,IF($C$3="August",8,0)))))+SUMPRODUCT(('ORDERS TAKEN OR GIVEN BACK'!$B$2:$B$995=A244)*('ORDERS TAKEN OR GIVEN BACK'!$C$2:$C$995="Orders Taken or Given Back")*(($C$3="All")+(MONTH('ORDERS TAKEN OR GIVEN BACK'!$G$2:$G$995)=IF($C$3="July",7,IF($C$3="August",8,0)))))+SUMPRODUCT(('SERVICE ON HOLD'!$B$2:$B$995=A244)*('SERVICE ON HOLD'!$C$2:$C$995="Orders Taken or Given Back")*(($C$3="All")+(MONTH('SERVICE ON HOLD'!$G$2:$G$995)=IF($C$3="July",7,IF($C$3="August",8,0)))))</f>
        <v>2</v>
      </c>
      <c r="C244" s="20">
        <f>SUMPRODUCT(('NEW SERVICE &amp; RESUME REQUESTS'!$B$4:$B$995=A244)*('NEW SERVICE &amp; RESUME REQUESTS'!$C$4:$C$995="Orders Taken or Given Back")*(($C$3="All")+(MONTH('NEW SERVICE &amp; RESUME REQUESTS'!$G$4:$G$995)=IF($C$3="July",7,IF($C$3="August",8,0))))*'NEW SERVICE &amp; RESUME REQUESTS'!$E$4:$E$995)+SUMPRODUCT(('PLACED &amp; SCHEDULED ORDERS'!$B$2:$B$995=A244)*('PLACED &amp; SCHEDULED ORDERS'!$C$2:$C$995="Orders Taken or Given Back")*(($C$3="All")+(MONTH('PLACED &amp; SCHEDULED ORDERS'!$G$2:$G$995)=IF($C$3="July",7,IF($C$3="August",8,0))))*'PLACED &amp; SCHEDULED ORDERS'!$E$2:$E$995)+SUMPRODUCT(('ORDERS TAKEN OR GIVEN BACK'!$B$2:$B$995=A244)*('ORDERS TAKEN OR GIVEN BACK'!$C$2:$C$995="Orders Taken or Given Back")*(($C$3="All")+(MONTH('ORDERS TAKEN OR GIVEN BACK'!$G$2:$G$995)=IF($C$3="July",7,IF($C$3="August",8,0))))*'ORDERS TAKEN OR GIVEN BACK'!$E$2:$E$995)+SUMPRODUCT(('SERVICE ON HOLD'!$B$2:$B$995=A244)*('SERVICE ON HOLD'!$C$2:$C$995="Orders Taken or Given Back")*(($C$3="All")+(MONTH('SERVICE ON HOLD'!$G$2:$G$995)=IF($C$3="July",7,IF($C$3="August",8,0))))*'SERVICE ON HOLD'!$E$2:$E$995)</f>
        <v>507.68</v>
      </c>
    </row>
    <row r="245" spans="1:3" ht="15" customHeight="1">
      <c r="A245" s="19" t="s">
        <v>93</v>
      </c>
      <c r="B245" s="19">
        <f>SUMPRODUCT(('NEW SERVICE &amp; RESUME REQUESTS'!$B$4:$B$995=A245)*('NEW SERVICE &amp; RESUME REQUESTS'!$C$4:$C$995="Orders Taken or Given Back")*(($C$3="All")+(MONTH('NEW SERVICE &amp; RESUME REQUESTS'!$G$4:$G$995)=IF($C$3="July",7,IF($C$3="August",8,0)))))+SUMPRODUCT(('PLACED &amp; SCHEDULED ORDERS'!$B$2:$B$995=A245)*('PLACED &amp; SCHEDULED ORDERS'!$C$2:$C$995="Orders Taken or Given Back")*(($C$3="All")+(MONTH('PLACED &amp; SCHEDULED ORDERS'!$G$2:$G$995)=IF($C$3="July",7,IF($C$3="August",8,0)))))+SUMPRODUCT(('ORDERS TAKEN OR GIVEN BACK'!$B$2:$B$995=A245)*('ORDERS TAKEN OR GIVEN BACK'!$C$2:$C$995="Orders Taken or Given Back")*(($C$3="All")+(MONTH('ORDERS TAKEN OR GIVEN BACK'!$G$2:$G$995)=IF($C$3="July",7,IF($C$3="August",8,0)))))+SUMPRODUCT(('SERVICE ON HOLD'!$B$2:$B$995=A245)*('SERVICE ON HOLD'!$C$2:$C$995="Orders Taken or Given Back")*(($C$3="All")+(MONTH('SERVICE ON HOLD'!$G$2:$G$995)=IF($C$3="July",7,IF($C$3="August",8,0)))))</f>
        <v>2</v>
      </c>
      <c r="C245" s="20">
        <f>SUMPRODUCT(('NEW SERVICE &amp; RESUME REQUESTS'!$B$4:$B$995=A245)*('NEW SERVICE &amp; RESUME REQUESTS'!$C$4:$C$995="Orders Taken or Given Back")*(($C$3="All")+(MONTH('NEW SERVICE &amp; RESUME REQUESTS'!$G$4:$G$995)=IF($C$3="July",7,IF($C$3="August",8,0))))*'NEW SERVICE &amp; RESUME REQUESTS'!$E$4:$E$995)+SUMPRODUCT(('PLACED &amp; SCHEDULED ORDERS'!$B$2:$B$995=A245)*('PLACED &amp; SCHEDULED ORDERS'!$C$2:$C$995="Orders Taken or Given Back")*(($C$3="All")+(MONTH('PLACED &amp; SCHEDULED ORDERS'!$G$2:$G$995)=IF($C$3="July",7,IF($C$3="August",8,0))))*'PLACED &amp; SCHEDULED ORDERS'!$E$2:$E$995)+SUMPRODUCT(('ORDERS TAKEN OR GIVEN BACK'!$B$2:$B$995=A245)*('ORDERS TAKEN OR GIVEN BACK'!$C$2:$C$995="Orders Taken or Given Back")*(($C$3="All")+(MONTH('ORDERS TAKEN OR GIVEN BACK'!$G$2:$G$995)=IF($C$3="July",7,IF($C$3="August",8,0))))*'ORDERS TAKEN OR GIVEN BACK'!$E$2:$E$995)+SUMPRODUCT(('SERVICE ON HOLD'!$B$2:$B$995=A245)*('SERVICE ON HOLD'!$C$2:$C$995="Orders Taken or Given Back")*(($C$3="All")+(MONTH('SERVICE ON HOLD'!$G$2:$G$995)=IF($C$3="July",7,IF($C$3="August",8,0))))*'SERVICE ON HOLD'!$E$2:$E$995)</f>
        <v>317.3</v>
      </c>
    </row>
    <row r="246" spans="1:3" ht="15" customHeight="1">
      <c r="A246" s="19" t="s">
        <v>94</v>
      </c>
      <c r="B246" s="19">
        <f>SUMPRODUCT(('NEW SERVICE &amp; RESUME REQUESTS'!$B$4:$B$995=A246)*('NEW SERVICE &amp; RESUME REQUESTS'!$C$4:$C$995="Orders Taken or Given Back")*(($C$3="All")+(MONTH('NEW SERVICE &amp; RESUME REQUESTS'!$G$4:$G$995)=IF($C$3="July",7,IF($C$3="August",8,0)))))+SUMPRODUCT(('PLACED &amp; SCHEDULED ORDERS'!$B$2:$B$995=A246)*('PLACED &amp; SCHEDULED ORDERS'!$C$2:$C$995="Orders Taken or Given Back")*(($C$3="All")+(MONTH('PLACED &amp; SCHEDULED ORDERS'!$G$2:$G$995)=IF($C$3="July",7,IF($C$3="August",8,0)))))+SUMPRODUCT(('ORDERS TAKEN OR GIVEN BACK'!$B$2:$B$995=A246)*('ORDERS TAKEN OR GIVEN BACK'!$C$2:$C$995="Orders Taken or Given Back")*(($C$3="All")+(MONTH('ORDERS TAKEN OR GIVEN BACK'!$G$2:$G$995)=IF($C$3="July",7,IF($C$3="August",8,0)))))+SUMPRODUCT(('SERVICE ON HOLD'!$B$2:$B$995=A246)*('SERVICE ON HOLD'!$C$2:$C$995="Orders Taken or Given Back")*(($C$3="All")+(MONTH('SERVICE ON HOLD'!$G$2:$G$995)=IF($C$3="July",7,IF($C$3="August",8,0)))))</f>
        <v>2</v>
      </c>
      <c r="C246" s="20">
        <f>SUMPRODUCT(('NEW SERVICE &amp; RESUME REQUESTS'!$B$4:$B$995=A246)*('NEW SERVICE &amp; RESUME REQUESTS'!$C$4:$C$995="Orders Taken or Given Back")*(($C$3="All")+(MONTH('NEW SERVICE &amp; RESUME REQUESTS'!$G$4:$G$995)=IF($C$3="July",7,IF($C$3="August",8,0))))*'NEW SERVICE &amp; RESUME REQUESTS'!$E$4:$E$995)+SUMPRODUCT(('PLACED &amp; SCHEDULED ORDERS'!$B$2:$B$995=A246)*('PLACED &amp; SCHEDULED ORDERS'!$C$2:$C$995="Orders Taken or Given Back")*(($C$3="All")+(MONTH('PLACED &amp; SCHEDULED ORDERS'!$G$2:$G$995)=IF($C$3="July",7,IF($C$3="August",8,0))))*'PLACED &amp; SCHEDULED ORDERS'!$E$2:$E$995)+SUMPRODUCT(('ORDERS TAKEN OR GIVEN BACK'!$B$2:$B$995=A246)*('ORDERS TAKEN OR GIVEN BACK'!$C$2:$C$995="Orders Taken or Given Back")*(($C$3="All")+(MONTH('ORDERS TAKEN OR GIVEN BACK'!$G$2:$G$995)=IF($C$3="July",7,IF($C$3="August",8,0))))*'ORDERS TAKEN OR GIVEN BACK'!$E$2:$E$995)+SUMPRODUCT(('SERVICE ON HOLD'!$B$2:$B$995=A246)*('SERVICE ON HOLD'!$C$2:$C$995="Orders Taken or Given Back")*(($C$3="All")+(MONTH('SERVICE ON HOLD'!$G$2:$G$995)=IF($C$3="July",7,IF($C$3="August",8,0))))*'SERVICE ON HOLD'!$E$2:$E$995)</f>
        <v>317.3</v>
      </c>
    </row>
    <row r="247" spans="1:3" ht="15" customHeight="1">
      <c r="A247" s="19" t="s">
        <v>95</v>
      </c>
      <c r="B247" s="19">
        <f>SUMPRODUCT(('NEW SERVICE &amp; RESUME REQUESTS'!$B$4:$B$995=A247)*('NEW SERVICE &amp; RESUME REQUESTS'!$C$4:$C$995="Orders Taken or Given Back")*(($C$3="All")+(MONTH('NEW SERVICE &amp; RESUME REQUESTS'!$G$4:$G$995)=IF($C$3="July",7,IF($C$3="August",8,0)))))+SUMPRODUCT(('PLACED &amp; SCHEDULED ORDERS'!$B$2:$B$995=A247)*('PLACED &amp; SCHEDULED ORDERS'!$C$2:$C$995="Orders Taken or Given Back")*(($C$3="All")+(MONTH('PLACED &amp; SCHEDULED ORDERS'!$G$2:$G$995)=IF($C$3="July",7,IF($C$3="August",8,0)))))+SUMPRODUCT(('ORDERS TAKEN OR GIVEN BACK'!$B$2:$B$995=A247)*('ORDERS TAKEN OR GIVEN BACK'!$C$2:$C$995="Orders Taken or Given Back")*(($C$3="All")+(MONTH('ORDERS TAKEN OR GIVEN BACK'!$G$2:$G$995)=IF($C$3="July",7,IF($C$3="August",8,0)))))+SUMPRODUCT(('SERVICE ON HOLD'!$B$2:$B$995=A247)*('SERVICE ON HOLD'!$C$2:$C$995="Orders Taken or Given Back")*(($C$3="All")+(MONTH('SERVICE ON HOLD'!$G$2:$G$995)=IF($C$3="July",7,IF($C$3="August",8,0)))))</f>
        <v>0</v>
      </c>
      <c r="C247" s="20">
        <f>SUMPRODUCT(('NEW SERVICE &amp; RESUME REQUESTS'!$B$4:$B$995=A247)*('NEW SERVICE &amp; RESUME REQUESTS'!$C$4:$C$995="Orders Taken or Given Back")*(($C$3="All")+(MONTH('NEW SERVICE &amp; RESUME REQUESTS'!$G$4:$G$995)=IF($C$3="July",7,IF($C$3="August",8,0))))*'NEW SERVICE &amp; RESUME REQUESTS'!$E$4:$E$995)+SUMPRODUCT(('PLACED &amp; SCHEDULED ORDERS'!$B$2:$B$995=A247)*('PLACED &amp; SCHEDULED ORDERS'!$C$2:$C$995="Orders Taken or Given Back")*(($C$3="All")+(MONTH('PLACED &amp; SCHEDULED ORDERS'!$G$2:$G$995)=IF($C$3="July",7,IF($C$3="August",8,0))))*'PLACED &amp; SCHEDULED ORDERS'!$E$2:$E$995)+SUMPRODUCT(('ORDERS TAKEN OR GIVEN BACK'!$B$2:$B$995=A247)*('ORDERS TAKEN OR GIVEN BACK'!$C$2:$C$995="Orders Taken or Given Back")*(($C$3="All")+(MONTH('ORDERS TAKEN OR GIVEN BACK'!$G$2:$G$995)=IF($C$3="July",7,IF($C$3="August",8,0))))*'ORDERS TAKEN OR GIVEN BACK'!$E$2:$E$995)+SUMPRODUCT(('SERVICE ON HOLD'!$B$2:$B$995=A247)*('SERVICE ON HOLD'!$C$2:$C$995="Orders Taken or Given Back")*(($C$3="All")+(MONTH('SERVICE ON HOLD'!$G$2:$G$995)=IF($C$3="July",7,IF($C$3="August",8,0))))*'SERVICE ON HOLD'!$E$2:$E$995)</f>
        <v>0</v>
      </c>
    </row>
    <row r="248" spans="1:3" ht="15" customHeight="1">
      <c r="A248" s="19" t="s">
        <v>96</v>
      </c>
      <c r="B248" s="19">
        <f>SUMPRODUCT(('NEW SERVICE &amp; RESUME REQUESTS'!$B$4:$B$995=A248)*('NEW SERVICE &amp; RESUME REQUESTS'!$C$4:$C$995="Orders Taken or Given Back")*(($C$3="All")+(MONTH('NEW SERVICE &amp; RESUME REQUESTS'!$G$4:$G$995)=IF($C$3="July",7,IF($C$3="August",8,0)))))+SUMPRODUCT(('PLACED &amp; SCHEDULED ORDERS'!$B$2:$B$995=A248)*('PLACED &amp; SCHEDULED ORDERS'!$C$2:$C$995="Orders Taken or Given Back")*(($C$3="All")+(MONTH('PLACED &amp; SCHEDULED ORDERS'!$G$2:$G$995)=IF($C$3="July",7,IF($C$3="August",8,0)))))+SUMPRODUCT(('ORDERS TAKEN OR GIVEN BACK'!$B$2:$B$995=A248)*('ORDERS TAKEN OR GIVEN BACK'!$C$2:$C$995="Orders Taken or Given Back")*(($C$3="All")+(MONTH('ORDERS TAKEN OR GIVEN BACK'!$G$2:$G$995)=IF($C$3="July",7,IF($C$3="August",8,0)))))+SUMPRODUCT(('SERVICE ON HOLD'!$B$2:$B$995=A248)*('SERVICE ON HOLD'!$C$2:$C$995="Orders Taken or Given Back")*(($C$3="All")+(MONTH('SERVICE ON HOLD'!$G$2:$G$995)=IF($C$3="July",7,IF($C$3="August",8,0)))))</f>
        <v>0</v>
      </c>
      <c r="C248" s="20">
        <f>SUMPRODUCT(('NEW SERVICE &amp; RESUME REQUESTS'!$B$4:$B$995=A248)*('NEW SERVICE &amp; RESUME REQUESTS'!$C$4:$C$995="Orders Taken or Given Back")*(($C$3="All")+(MONTH('NEW SERVICE &amp; RESUME REQUESTS'!$G$4:$G$995)=IF($C$3="July",7,IF($C$3="August",8,0))))*'NEW SERVICE &amp; RESUME REQUESTS'!$E$4:$E$995)+SUMPRODUCT(('PLACED &amp; SCHEDULED ORDERS'!$B$2:$B$995=A248)*('PLACED &amp; SCHEDULED ORDERS'!$C$2:$C$995="Orders Taken or Given Back")*(($C$3="All")+(MONTH('PLACED &amp; SCHEDULED ORDERS'!$G$2:$G$995)=IF($C$3="July",7,IF($C$3="August",8,0))))*'PLACED &amp; SCHEDULED ORDERS'!$E$2:$E$995)+SUMPRODUCT(('ORDERS TAKEN OR GIVEN BACK'!$B$2:$B$995=A248)*('ORDERS TAKEN OR GIVEN BACK'!$C$2:$C$995="Orders Taken or Given Back")*(($C$3="All")+(MONTH('ORDERS TAKEN OR GIVEN BACK'!$G$2:$G$995)=IF($C$3="July",7,IF($C$3="August",8,0))))*'ORDERS TAKEN OR GIVEN BACK'!$E$2:$E$995)+SUMPRODUCT(('SERVICE ON HOLD'!$B$2:$B$995=A248)*('SERVICE ON HOLD'!$C$2:$C$995="Orders Taken or Given Back")*(($C$3="All")+(MONTH('SERVICE ON HOLD'!$G$2:$G$995)=IF($C$3="July",7,IF($C$3="August",8,0))))*'SERVICE ON HOLD'!$E$2:$E$995)</f>
        <v>0</v>
      </c>
    </row>
    <row r="250" spans="1:3" ht="15" customHeight="1">
      <c r="A250" s="14" t="s">
        <v>98</v>
      </c>
    </row>
    <row r="251" spans="1:3" ht="15" customHeight="1">
      <c r="A251" s="18" t="s">
        <v>88</v>
      </c>
      <c r="B251" s="18" t="s">
        <v>89</v>
      </c>
      <c r="C251" s="18" t="s">
        <v>13</v>
      </c>
    </row>
    <row r="252" spans="1:3" ht="15" customHeight="1">
      <c r="A252" s="19" t="s">
        <v>90</v>
      </c>
      <c r="B252" s="19">
        <f>SUMPRODUCT(('NEW SERVICE &amp; RESUME REQUESTS'!$B$4:$B$995=A252)*('NEW SERVICE &amp; RESUME REQUESTS'!$C$4:$C$995="Service On Hold")*(($C$3="All")+(MONTH('NEW SERVICE &amp; RESUME REQUESTS'!$G$4:$G$995)=IF($C$3="July",7,IF($C$3="August",8,0)))))+SUMPRODUCT(('PLACED &amp; SCHEDULED ORDERS'!$B$2:$B$995=A252)*('PLACED &amp; SCHEDULED ORDERS'!$C$2:$C$995="Service On Hold")*(($C$3="All")+(MONTH('PLACED &amp; SCHEDULED ORDERS'!$G$2:$G$995)=IF($C$3="July",7,IF($C$3="August",8,0)))))+SUMPRODUCT(('ORDERS TAKEN OR GIVEN BACK'!$B$2:$B$995=A252)*('ORDERS TAKEN OR GIVEN BACK'!$C$2:$C$995="Service On Hold")*(($C$3="All")+(MONTH('ORDERS TAKEN OR GIVEN BACK'!$G$2:$G$995)=IF($C$3="July",7,IF($C$3="August",8,0)))))+SUMPRODUCT(('SERVICE ON HOLD'!$B$2:$B$995=A252)*('SERVICE ON HOLD'!$C$2:$C$995="Service On Hold")*(($C$3="All")+(MONTH('SERVICE ON HOLD'!$G$2:$G$995)=IF($C$3="July",7,IF($C$3="August",8,0)))))</f>
        <v>3</v>
      </c>
      <c r="C252" s="20">
        <f>SUMPRODUCT(('NEW SERVICE &amp; RESUME REQUESTS'!$B$4:$B$995=A252)*('NEW SERVICE &amp; RESUME REQUESTS'!$C$4:$C$995="Service On Hold")*(($C$3="All")+(MONTH('NEW SERVICE &amp; RESUME REQUESTS'!$G$4:$G$995)=IF($C$3="July",7,IF($C$3="August",8,0))))*'NEW SERVICE &amp; RESUME REQUESTS'!$E$4:$E$995)+SUMPRODUCT(('PLACED &amp; SCHEDULED ORDERS'!$B$2:$B$995=A252)*('PLACED &amp; SCHEDULED ORDERS'!$C$2:$C$995="Service On Hold")*(($C$3="All")+(MONTH('PLACED &amp; SCHEDULED ORDERS'!$G$2:$G$995)=IF($C$3="July",7,IF($C$3="August",8,0))))*'PLACED &amp; SCHEDULED ORDERS'!$E$2:$E$995)+SUMPRODUCT(('ORDERS TAKEN OR GIVEN BACK'!$B$2:$B$995=A252)*('ORDERS TAKEN OR GIVEN BACK'!$C$2:$C$995="Service On Hold")*(($C$3="All")+(MONTH('ORDERS TAKEN OR GIVEN BACK'!$G$2:$G$995)=IF($C$3="July",7,IF($C$3="August",8,0))))*'ORDERS TAKEN OR GIVEN BACK'!$E$2:$E$995)+SUMPRODUCT(('SERVICE ON HOLD'!$B$2:$B$995=A252)*('SERVICE ON HOLD'!$C$2:$C$995="Service On Hold")*(($C$3="All")+(MONTH('SERVICE ON HOLD'!$G$2:$G$995)=IF($C$3="July",7,IF($C$3="August",8,0))))*'SERVICE ON HOLD'!$E$2:$E$995)</f>
        <v>571.14</v>
      </c>
    </row>
    <row r="253" spans="1:3" ht="15" customHeight="1">
      <c r="A253" s="19" t="s">
        <v>91</v>
      </c>
      <c r="B253" s="19">
        <f>SUMPRODUCT(('NEW SERVICE &amp; RESUME REQUESTS'!$B$4:$B$995=A253)*('NEW SERVICE &amp; RESUME REQUESTS'!$C$4:$C$995="Service On Hold")*(($C$3="All")+(MONTH('NEW SERVICE &amp; RESUME REQUESTS'!$G$4:$G$995)=IF($C$3="July",7,IF($C$3="August",8,0)))))+SUMPRODUCT(('PLACED &amp; SCHEDULED ORDERS'!$B$2:$B$995=A253)*('PLACED &amp; SCHEDULED ORDERS'!$C$2:$C$995="Service On Hold")*(($C$3="All")+(MONTH('PLACED &amp; SCHEDULED ORDERS'!$G$2:$G$995)=IF($C$3="July",7,IF($C$3="August",8,0)))))+SUMPRODUCT(('ORDERS TAKEN OR GIVEN BACK'!$B$2:$B$995=A253)*('ORDERS TAKEN OR GIVEN BACK'!$C$2:$C$995="Service On Hold")*(($C$3="All")+(MONTH('ORDERS TAKEN OR GIVEN BACK'!$G$2:$G$995)=IF($C$3="July",7,IF($C$3="August",8,0)))))+SUMPRODUCT(('SERVICE ON HOLD'!$B$2:$B$995=A253)*('SERVICE ON HOLD'!$C$2:$C$995="Service On Hold")*(($C$3="All")+(MONTH('SERVICE ON HOLD'!$G$2:$G$995)=IF($C$3="July",7,IF($C$3="August",8,0)))))</f>
        <v>2</v>
      </c>
      <c r="C253" s="20">
        <f>SUMPRODUCT(('NEW SERVICE &amp; RESUME REQUESTS'!$B$4:$B$995=A253)*('NEW SERVICE &amp; RESUME REQUESTS'!$C$4:$C$995="Service On Hold")*(($C$3="All")+(MONTH('NEW SERVICE &amp; RESUME REQUESTS'!$G$4:$G$995)=IF($C$3="July",7,IF($C$3="August",8,0))))*'NEW SERVICE &amp; RESUME REQUESTS'!$E$4:$E$995)+SUMPRODUCT(('PLACED &amp; SCHEDULED ORDERS'!$B$2:$B$995=A253)*('PLACED &amp; SCHEDULED ORDERS'!$C$2:$C$995="Service On Hold")*(($C$3="All")+(MONTH('PLACED &amp; SCHEDULED ORDERS'!$G$2:$G$995)=IF($C$3="July",7,IF($C$3="August",8,0))))*'PLACED &amp; SCHEDULED ORDERS'!$E$2:$E$995)+SUMPRODUCT(('ORDERS TAKEN OR GIVEN BACK'!$B$2:$B$995=A253)*('ORDERS TAKEN OR GIVEN BACK'!$C$2:$C$995="Service On Hold")*(($C$3="All")+(MONTH('ORDERS TAKEN OR GIVEN BACK'!$G$2:$G$995)=IF($C$3="July",7,IF($C$3="August",8,0))))*'ORDERS TAKEN OR GIVEN BACK'!$E$2:$E$995)+SUMPRODUCT(('SERVICE ON HOLD'!$B$2:$B$995=A253)*('SERVICE ON HOLD'!$C$2:$C$995="Service On Hold")*(($C$3="All")+(MONTH('SERVICE ON HOLD'!$G$2:$G$995)=IF($C$3="July",7,IF($C$3="August",8,0))))*'SERVICE ON HOLD'!$E$2:$E$995)</f>
        <v>444.22</v>
      </c>
    </row>
    <row r="254" spans="1:3" ht="15" customHeight="1">
      <c r="A254" s="19" t="s">
        <v>92</v>
      </c>
      <c r="B254" s="19">
        <f>SUMPRODUCT(('NEW SERVICE &amp; RESUME REQUESTS'!$B$4:$B$995=A254)*('NEW SERVICE &amp; RESUME REQUESTS'!$C$4:$C$995="Service On Hold")*(($C$3="All")+(MONTH('NEW SERVICE &amp; RESUME REQUESTS'!$G$4:$G$995)=IF($C$3="July",7,IF($C$3="August",8,0)))))+SUMPRODUCT(('PLACED &amp; SCHEDULED ORDERS'!$B$2:$B$995=A254)*('PLACED &amp; SCHEDULED ORDERS'!$C$2:$C$995="Service On Hold")*(($C$3="All")+(MONTH('PLACED &amp; SCHEDULED ORDERS'!$G$2:$G$995)=IF($C$3="July",7,IF($C$3="August",8,0)))))+SUMPRODUCT(('ORDERS TAKEN OR GIVEN BACK'!$B$2:$B$995=A254)*('ORDERS TAKEN OR GIVEN BACK'!$C$2:$C$995="Service On Hold")*(($C$3="All")+(MONTH('ORDERS TAKEN OR GIVEN BACK'!$G$2:$G$995)=IF($C$3="July",7,IF($C$3="August",8,0)))))+SUMPRODUCT(('SERVICE ON HOLD'!$B$2:$B$995=A254)*('SERVICE ON HOLD'!$C$2:$C$995="Service On Hold")*(($C$3="All")+(MONTH('SERVICE ON HOLD'!$G$2:$G$995)=IF($C$3="July",7,IF($C$3="August",8,0)))))</f>
        <v>2</v>
      </c>
      <c r="C254" s="20">
        <f>SUMPRODUCT(('NEW SERVICE &amp; RESUME REQUESTS'!$B$4:$B$995=A254)*('NEW SERVICE &amp; RESUME REQUESTS'!$C$4:$C$995="Service On Hold")*(($C$3="All")+(MONTH('NEW SERVICE &amp; RESUME REQUESTS'!$G$4:$G$995)=IF($C$3="July",7,IF($C$3="August",8,0))))*'NEW SERVICE &amp; RESUME REQUESTS'!$E$4:$E$995)+SUMPRODUCT(('PLACED &amp; SCHEDULED ORDERS'!$B$2:$B$995=A254)*('PLACED &amp; SCHEDULED ORDERS'!$C$2:$C$995="Service On Hold")*(($C$3="All")+(MONTH('PLACED &amp; SCHEDULED ORDERS'!$G$2:$G$995)=IF($C$3="July",7,IF($C$3="August",8,0))))*'PLACED &amp; SCHEDULED ORDERS'!$E$2:$E$995)+SUMPRODUCT(('ORDERS TAKEN OR GIVEN BACK'!$B$2:$B$995=A254)*('ORDERS TAKEN OR GIVEN BACK'!$C$2:$C$995="Service On Hold")*(($C$3="All")+(MONTH('ORDERS TAKEN OR GIVEN BACK'!$G$2:$G$995)=IF($C$3="July",7,IF($C$3="August",8,0))))*'ORDERS TAKEN OR GIVEN BACK'!$E$2:$E$995)+SUMPRODUCT(('SERVICE ON HOLD'!$B$2:$B$995=A254)*('SERVICE ON HOLD'!$C$2:$C$995="Service On Hold")*(($C$3="All")+(MONTH('SERVICE ON HOLD'!$G$2:$G$995)=IF($C$3="July",7,IF($C$3="August",8,0))))*'SERVICE ON HOLD'!$E$2:$E$995)</f>
        <v>507.68</v>
      </c>
    </row>
    <row r="255" spans="1:3" ht="15" customHeight="1">
      <c r="A255" s="19" t="s">
        <v>93</v>
      </c>
      <c r="B255" s="19">
        <f>SUMPRODUCT(('NEW SERVICE &amp; RESUME REQUESTS'!$B$4:$B$995=A255)*('NEW SERVICE &amp; RESUME REQUESTS'!$C$4:$C$995="Service On Hold")*(($C$3="All")+(MONTH('NEW SERVICE &amp; RESUME REQUESTS'!$G$4:$G$995)=IF($C$3="July",7,IF($C$3="August",8,0)))))+SUMPRODUCT(('PLACED &amp; SCHEDULED ORDERS'!$B$2:$B$995=A255)*('PLACED &amp; SCHEDULED ORDERS'!$C$2:$C$995="Service On Hold")*(($C$3="All")+(MONTH('PLACED &amp; SCHEDULED ORDERS'!$G$2:$G$995)=IF($C$3="July",7,IF($C$3="August",8,0)))))+SUMPRODUCT(('ORDERS TAKEN OR GIVEN BACK'!$B$2:$B$995=A255)*('ORDERS TAKEN OR GIVEN BACK'!$C$2:$C$995="Service On Hold")*(($C$3="All")+(MONTH('ORDERS TAKEN OR GIVEN BACK'!$G$2:$G$995)=IF($C$3="July",7,IF($C$3="August",8,0)))))+SUMPRODUCT(('SERVICE ON HOLD'!$B$2:$B$995=A255)*('SERVICE ON HOLD'!$C$2:$C$995="Service On Hold")*(($C$3="All")+(MONTH('SERVICE ON HOLD'!$G$2:$G$995)=IF($C$3="July",7,IF($C$3="August",8,0)))))</f>
        <v>2</v>
      </c>
      <c r="C255" s="20">
        <f>SUMPRODUCT(('NEW SERVICE &amp; RESUME REQUESTS'!$B$4:$B$995=A255)*('NEW SERVICE &amp; RESUME REQUESTS'!$C$4:$C$995="Service On Hold")*(($C$3="All")+(MONTH('NEW SERVICE &amp; RESUME REQUESTS'!$G$4:$G$995)=IF($C$3="July",7,IF($C$3="August",8,0))))*'NEW SERVICE &amp; RESUME REQUESTS'!$E$4:$E$995)+SUMPRODUCT(('PLACED &amp; SCHEDULED ORDERS'!$B$2:$B$995=A255)*('PLACED &amp; SCHEDULED ORDERS'!$C$2:$C$995="Service On Hold")*(($C$3="All")+(MONTH('PLACED &amp; SCHEDULED ORDERS'!$G$2:$G$995)=IF($C$3="July",7,IF($C$3="August",8,0))))*'PLACED &amp; SCHEDULED ORDERS'!$E$2:$E$995)+SUMPRODUCT(('ORDERS TAKEN OR GIVEN BACK'!$B$2:$B$995=A255)*('ORDERS TAKEN OR GIVEN BACK'!$C$2:$C$995="Service On Hold")*(($C$3="All")+(MONTH('ORDERS TAKEN OR GIVEN BACK'!$G$2:$G$995)=IF($C$3="July",7,IF($C$3="August",8,0))))*'ORDERS TAKEN OR GIVEN BACK'!$E$2:$E$995)+SUMPRODUCT(('SERVICE ON HOLD'!$B$2:$B$995=A255)*('SERVICE ON HOLD'!$C$2:$C$995="Service On Hold")*(($C$3="All")+(MONTH('SERVICE ON HOLD'!$G$2:$G$995)=IF($C$3="July",7,IF($C$3="August",8,0))))*'SERVICE ON HOLD'!$E$2:$E$995)</f>
        <v>317.3</v>
      </c>
    </row>
    <row r="256" spans="1:3" ht="15" customHeight="1">
      <c r="A256" s="19" t="s">
        <v>94</v>
      </c>
      <c r="B256" s="19">
        <f>SUMPRODUCT(('NEW SERVICE &amp; RESUME REQUESTS'!$B$4:$B$995=A256)*('NEW SERVICE &amp; RESUME REQUESTS'!$C$4:$C$995="Service On Hold")*(($C$3="All")+(MONTH('NEW SERVICE &amp; RESUME REQUESTS'!$G$4:$G$995)=IF($C$3="July",7,IF($C$3="August",8,0)))))+SUMPRODUCT(('PLACED &amp; SCHEDULED ORDERS'!$B$2:$B$995=A256)*('PLACED &amp; SCHEDULED ORDERS'!$C$2:$C$995="Service On Hold")*(($C$3="All")+(MONTH('PLACED &amp; SCHEDULED ORDERS'!$G$2:$G$995)=IF($C$3="July",7,IF($C$3="August",8,0)))))+SUMPRODUCT(('ORDERS TAKEN OR GIVEN BACK'!$B$2:$B$995=A256)*('ORDERS TAKEN OR GIVEN BACK'!$C$2:$C$995="Service On Hold")*(($C$3="All")+(MONTH('ORDERS TAKEN OR GIVEN BACK'!$G$2:$G$995)=IF($C$3="July",7,IF($C$3="August",8,0)))))+SUMPRODUCT(('SERVICE ON HOLD'!$B$2:$B$995=A256)*('SERVICE ON HOLD'!$C$2:$C$995="Service On Hold")*(($C$3="All")+(MONTH('SERVICE ON HOLD'!$G$2:$G$995)=IF($C$3="July",7,IF($C$3="August",8,0)))))</f>
        <v>1</v>
      </c>
      <c r="C256" s="20">
        <f>SUMPRODUCT(('NEW SERVICE &amp; RESUME REQUESTS'!$B$4:$B$995=A256)*('NEW SERVICE &amp; RESUME REQUESTS'!$C$4:$C$995="Service On Hold")*(($C$3="All")+(MONTH('NEW SERVICE &amp; RESUME REQUESTS'!$G$4:$G$995)=IF($C$3="July",7,IF($C$3="August",8,0))))*'NEW SERVICE &amp; RESUME REQUESTS'!$E$4:$E$995)+SUMPRODUCT(('PLACED &amp; SCHEDULED ORDERS'!$B$2:$B$995=A256)*('PLACED &amp; SCHEDULED ORDERS'!$C$2:$C$995="Service On Hold")*(($C$3="All")+(MONTH('PLACED &amp; SCHEDULED ORDERS'!$G$2:$G$995)=IF($C$3="July",7,IF($C$3="August",8,0))))*'PLACED &amp; SCHEDULED ORDERS'!$E$2:$E$995)+SUMPRODUCT(('ORDERS TAKEN OR GIVEN BACK'!$B$2:$B$995=A256)*('ORDERS TAKEN OR GIVEN BACK'!$C$2:$C$995="Service On Hold")*(($C$3="All")+(MONTH('ORDERS TAKEN OR GIVEN BACK'!$G$2:$G$995)=IF($C$3="July",7,IF($C$3="August",8,0))))*'ORDERS TAKEN OR GIVEN BACK'!$E$2:$E$995)+SUMPRODUCT(('SERVICE ON HOLD'!$B$2:$B$995=A256)*('SERVICE ON HOLD'!$C$2:$C$995="Service On Hold")*(($C$3="All")+(MONTH('SERVICE ON HOLD'!$G$2:$G$995)=IF($C$3="July",7,IF($C$3="August",8,0))))*'SERVICE ON HOLD'!$E$2:$E$995)</f>
        <v>126.92</v>
      </c>
    </row>
    <row r="257" spans="1:3" ht="15" customHeight="1">
      <c r="A257" s="19" t="s">
        <v>95</v>
      </c>
      <c r="B257" s="19">
        <f>SUMPRODUCT(('NEW SERVICE &amp; RESUME REQUESTS'!$B$4:$B$995=A257)*('NEW SERVICE &amp; RESUME REQUESTS'!$C$4:$C$995="Service On Hold")*(($C$3="All")+(MONTH('NEW SERVICE &amp; RESUME REQUESTS'!$G$4:$G$995)=IF($C$3="July",7,IF($C$3="August",8,0)))))+SUMPRODUCT(('PLACED &amp; SCHEDULED ORDERS'!$B$2:$B$995=A257)*('PLACED &amp; SCHEDULED ORDERS'!$C$2:$C$995="Service On Hold")*(($C$3="All")+(MONTH('PLACED &amp; SCHEDULED ORDERS'!$G$2:$G$995)=IF($C$3="July",7,IF($C$3="August",8,0)))))+SUMPRODUCT(('ORDERS TAKEN OR GIVEN BACK'!$B$2:$B$995=A257)*('ORDERS TAKEN OR GIVEN BACK'!$C$2:$C$995="Service On Hold")*(($C$3="All")+(MONTH('ORDERS TAKEN OR GIVEN BACK'!$G$2:$G$995)=IF($C$3="July",7,IF($C$3="August",8,0)))))+SUMPRODUCT(('SERVICE ON HOLD'!$B$2:$B$995=A257)*('SERVICE ON HOLD'!$C$2:$C$995="Service On Hold")*(($C$3="All")+(MONTH('SERVICE ON HOLD'!$G$2:$G$995)=IF($C$3="July",7,IF($C$3="August",8,0)))))</f>
        <v>0</v>
      </c>
      <c r="C257" s="20">
        <f>SUMPRODUCT(('NEW SERVICE &amp; RESUME REQUESTS'!$B$4:$B$995=A257)*('NEW SERVICE &amp; RESUME REQUESTS'!$C$4:$C$995="Service On Hold")*(($C$3="All")+(MONTH('NEW SERVICE &amp; RESUME REQUESTS'!$G$4:$G$995)=IF($C$3="July",7,IF($C$3="August",8,0))))*'NEW SERVICE &amp; RESUME REQUESTS'!$E$4:$E$995)+SUMPRODUCT(('PLACED &amp; SCHEDULED ORDERS'!$B$2:$B$995=A257)*('PLACED &amp; SCHEDULED ORDERS'!$C$2:$C$995="Service On Hold")*(($C$3="All")+(MONTH('PLACED &amp; SCHEDULED ORDERS'!$G$2:$G$995)=IF($C$3="July",7,IF($C$3="August",8,0))))*'PLACED &amp; SCHEDULED ORDERS'!$E$2:$E$995)+SUMPRODUCT(('ORDERS TAKEN OR GIVEN BACK'!$B$2:$B$995=A257)*('ORDERS TAKEN OR GIVEN BACK'!$C$2:$C$995="Service On Hold")*(($C$3="All")+(MONTH('ORDERS TAKEN OR GIVEN BACK'!$G$2:$G$995)=IF($C$3="July",7,IF($C$3="August",8,0))))*'ORDERS TAKEN OR GIVEN BACK'!$E$2:$E$995)+SUMPRODUCT(('SERVICE ON HOLD'!$B$2:$B$995=A257)*('SERVICE ON HOLD'!$C$2:$C$995="Service On Hold")*(($C$3="All")+(MONTH('SERVICE ON HOLD'!$G$2:$G$995)=IF($C$3="July",7,IF($C$3="August",8,0))))*'SERVICE ON HOLD'!$E$2:$E$995)</f>
        <v>0</v>
      </c>
    </row>
    <row r="258" spans="1:3" ht="15" customHeight="1">
      <c r="A258" s="19" t="s">
        <v>96</v>
      </c>
      <c r="B258" s="19">
        <f>SUMPRODUCT(('NEW SERVICE &amp; RESUME REQUESTS'!$B$4:$B$995=A258)*('NEW SERVICE &amp; RESUME REQUESTS'!$C$4:$C$995="Service On Hold")*(($C$3="All")+(MONTH('NEW SERVICE &amp; RESUME REQUESTS'!$G$4:$G$995)=IF($C$3="July",7,IF($C$3="August",8,0)))))+SUMPRODUCT(('PLACED &amp; SCHEDULED ORDERS'!$B$2:$B$995=A258)*('PLACED &amp; SCHEDULED ORDERS'!$C$2:$C$995="Service On Hold")*(($C$3="All")+(MONTH('PLACED &amp; SCHEDULED ORDERS'!$G$2:$G$995)=IF($C$3="July",7,IF($C$3="August",8,0)))))+SUMPRODUCT(('ORDERS TAKEN OR GIVEN BACK'!$B$2:$B$995=A258)*('ORDERS TAKEN OR GIVEN BACK'!$C$2:$C$995="Service On Hold")*(($C$3="All")+(MONTH('ORDERS TAKEN OR GIVEN BACK'!$G$2:$G$995)=IF($C$3="July",7,IF($C$3="August",8,0)))))+SUMPRODUCT(('SERVICE ON HOLD'!$B$2:$B$995=A258)*('SERVICE ON HOLD'!$C$2:$C$995="Service On Hold")*(($C$3="All")+(MONTH('SERVICE ON HOLD'!$G$2:$G$995)=IF($C$3="July",7,IF($C$3="August",8,0)))))</f>
        <v>0</v>
      </c>
      <c r="C258" s="20">
        <f>SUMPRODUCT(('NEW SERVICE &amp; RESUME REQUESTS'!$B$4:$B$995=A258)*('NEW SERVICE &amp; RESUME REQUESTS'!$C$4:$C$995="Service On Hold")*(($C$3="All")+(MONTH('NEW SERVICE &amp; RESUME REQUESTS'!$G$4:$G$995)=IF($C$3="July",7,IF($C$3="August",8,0))))*'NEW SERVICE &amp; RESUME REQUESTS'!$E$4:$E$995)+SUMPRODUCT(('PLACED &amp; SCHEDULED ORDERS'!$B$2:$B$995=A258)*('PLACED &amp; SCHEDULED ORDERS'!$C$2:$C$995="Service On Hold")*(($C$3="All")+(MONTH('PLACED &amp; SCHEDULED ORDERS'!$G$2:$G$995)=IF($C$3="July",7,IF($C$3="August",8,0))))*'PLACED &amp; SCHEDULED ORDERS'!$E$2:$E$995)+SUMPRODUCT(('ORDERS TAKEN OR GIVEN BACK'!$B$2:$B$995=A258)*('ORDERS TAKEN OR GIVEN BACK'!$C$2:$C$995="Service On Hold")*(($C$3="All")+(MONTH('ORDERS TAKEN OR GIVEN BACK'!$G$2:$G$995)=IF($C$3="July",7,IF($C$3="August",8,0))))*'ORDERS TAKEN OR GIVEN BACK'!$E$2:$E$995)+SUMPRODUCT(('SERVICE ON HOLD'!$B$2:$B$995=A258)*('SERVICE ON HOLD'!$C$2:$C$995="Service On Hold")*(($C$3="All")+(MONTH('SERVICE ON HOLD'!$G$2:$G$995)=IF($C$3="July",7,IF($C$3="August",8,0))))*'SERVICE ON HOLD'!$E$2:$E$995)</f>
        <v>0</v>
      </c>
    </row>
    <row r="261" spans="1:3" ht="15" customHeight="1">
      <c r="A261" s="21" t="s">
        <v>88</v>
      </c>
      <c r="B261" s="21" t="s">
        <v>89</v>
      </c>
      <c r="C261" s="21" t="s">
        <v>13</v>
      </c>
    </row>
    <row r="262" spans="1:3" ht="15" customHeight="1">
      <c r="A262" s="10" t="s">
        <v>90</v>
      </c>
      <c r="B262" s="11">
        <f>SUMPRODUCT(('NEW SERVICE &amp; RESUME REQUESTS'!$B$4:$B$995=A262)*('NEW SERVICE &amp; RESUME REQUESTS'!$C$4:$C$995="New Service &amp; Resume Requests")*(($C$3="All")+(MONTH('NEW SERVICE &amp; RESUME REQUESTS'!$G$4:$G$995)=IF($C$3="July",7,IF($C$3="August",8,0)))))+SUMPRODUCT(('PLACED &amp; SCHEDULED ORDERS'!$B$2:$B$995=A262)*('PLACED &amp; SCHEDULED ORDERS'!$C$2:$C$995="New Service &amp; Resume Requests")*(($C$3="All")+(MONTH('PLACED &amp; SCHEDULED ORDERS'!$G$2:$G$995)=IF($C$3="July",7,IF($C$3="August",8,0)))))+SUMPRODUCT(('ORDERS TAKEN OR GIVEN BACK'!$B$2:$B$995=A262)*('ORDERS TAKEN OR GIVEN BACK'!$C$2:$C$995="New Service &amp; Resume Requests")*(($C$3="All")+(MONTH('ORDERS TAKEN OR GIVEN BACK'!$G$2:$G$995)=IF($C$3="July",7,IF($C$3="August",8,0)))))+SUMPRODUCT(('SERVICE ON HOLD'!$B$2:$B$995=A262)*('SERVICE ON HOLD'!$C$2:$C$995="New Service &amp; Resume Requests")*(($C$3="All")+(MONTH('SERVICE ON HOLD'!$G$2:$G$995)=IF($C$3="July",7,IF($C$3="August",8,0)))))</f>
        <v>28</v>
      </c>
      <c r="C262" s="22">
        <f>SUMPRODUCT(('NEW SERVICE &amp; RESUME REQUESTS'!$B$4:$B$995=A262)*('NEW SERVICE &amp; RESUME REQUESTS'!$C$4:$C$995="New Service &amp; Resume Requests")*(($C$3="All")+(MONTH('NEW SERVICE &amp; RESUME REQUESTS'!$G$4:$G$995)=IF($C$3="July",7,IF($C$3="August",8,0))))*'NEW SERVICE &amp; RESUME REQUESTS'!$E$4:$E$995)+SUMPRODUCT(('PLACED &amp; SCHEDULED ORDERS'!$B$2:$B$995=A262)*('PLACED &amp; SCHEDULED ORDERS'!$C$2:$C$995="New Service &amp; Resume Requests")*(($C$3="All")+(MONTH('PLACED &amp; SCHEDULED ORDERS'!$G$2:$G$995)=IF($C$3="July",7,IF($C$3="August",8,0))))*'PLACED &amp; SCHEDULED ORDERS'!$E$2:$E$995)+SUMPRODUCT(('ORDERS TAKEN OR GIVEN BACK'!$B$2:$B$995=A262)*('ORDERS TAKEN OR GIVEN BACK'!$C$2:$C$995="New Service &amp; Resume Requests")*(($C$3="All")+(MONTH('ORDERS TAKEN OR GIVEN BACK'!$G$2:$G$995)=IF($C$3="July",7,IF($C$3="August",8,0))))*'ORDERS TAKEN OR GIVEN BACK'!$E$2:$E$995)+SUMPRODUCT(('SERVICE ON HOLD'!$B$2:$B$995=A262)*('SERVICE ON HOLD'!$C$2:$C$995="New Service &amp; Resume Requests")*(($C$3="All")+(MONTH('SERVICE ON HOLD'!$G$2:$G$995)=IF($C$3="July",7,IF($C$3="August",8,0))))*'SERVICE ON HOLD'!$E$2:$E$995)</f>
        <v>6310.56</v>
      </c>
    </row>
    <row r="263" spans="1:3" ht="15" customHeight="1">
      <c r="A263" s="10" t="s">
        <v>91</v>
      </c>
      <c r="B263" s="11">
        <f>SUMPRODUCT(('NEW SERVICE &amp; RESUME REQUESTS'!$B$4:$B$995=A263)*('NEW SERVICE &amp; RESUME REQUESTS'!$C$4:$C$995="New Service &amp; Resume Requests")*(($C$3="All")+(MONTH('NEW SERVICE &amp; RESUME REQUESTS'!$G$4:$G$995)=IF($C$3="July",7,IF($C$3="August",8,0)))))+SUMPRODUCT(('PLACED &amp; SCHEDULED ORDERS'!$B$2:$B$995=A263)*('PLACED &amp; SCHEDULED ORDERS'!$C$2:$C$995="New Service &amp; Resume Requests")*(($C$3="All")+(MONTH('PLACED &amp; SCHEDULED ORDERS'!$G$2:$G$995)=IF($C$3="July",7,IF($C$3="August",8,0)))))+SUMPRODUCT(('ORDERS TAKEN OR GIVEN BACK'!$B$2:$B$995=A263)*('ORDERS TAKEN OR GIVEN BACK'!$C$2:$C$995="New Service &amp; Resume Requests")*(($C$3="All")+(MONTH('ORDERS TAKEN OR GIVEN BACK'!$G$2:$G$995)=IF($C$3="July",7,IF($C$3="August",8,0)))))+SUMPRODUCT(('SERVICE ON HOLD'!$B$2:$B$995=A263)*('SERVICE ON HOLD'!$C$2:$C$995="New Service &amp; Resume Requests")*(($C$3="All")+(MONTH('SERVICE ON HOLD'!$G$2:$G$995)=IF($C$3="July",7,IF($C$3="August",8,0)))))</f>
        <v>18</v>
      </c>
      <c r="C263" s="22">
        <f>SUMPRODUCT(('NEW SERVICE &amp; RESUME REQUESTS'!$B$4:$B$995=A263)*('NEW SERVICE &amp; RESUME REQUESTS'!$C$4:$C$995="New Service &amp; Resume Requests")*(($C$3="All")+(MONTH('NEW SERVICE &amp; RESUME REQUESTS'!$G$4:$G$995)=IF($C$3="July",7,IF($C$3="August",8,0))))*'NEW SERVICE &amp; RESUME REQUESTS'!$E$4:$E$995)+SUMPRODUCT(('PLACED &amp; SCHEDULED ORDERS'!$B$2:$B$995=A263)*('PLACED &amp; SCHEDULED ORDERS'!$C$2:$C$995="New Service &amp; Resume Requests")*(($C$3="All")+(MONTH('PLACED &amp; SCHEDULED ORDERS'!$G$2:$G$995)=IF($C$3="July",7,IF($C$3="August",8,0))))*'PLACED &amp; SCHEDULED ORDERS'!$E$2:$E$995)+SUMPRODUCT(('ORDERS TAKEN OR GIVEN BACK'!$B$2:$B$995=A263)*('ORDERS TAKEN OR GIVEN BACK'!$C$2:$C$995="New Service &amp; Resume Requests")*(($C$3="All")+(MONTH('ORDERS TAKEN OR GIVEN BACK'!$G$2:$G$995)=IF($C$3="July",7,IF($C$3="August",8,0))))*'ORDERS TAKEN OR GIVEN BACK'!$E$2:$E$995)+SUMPRODUCT(('SERVICE ON HOLD'!$B$2:$B$995=A263)*('SERVICE ON HOLD'!$C$2:$C$995="New Service &amp; Resume Requests")*(($C$3="All")+(MONTH('SERVICE ON HOLD'!$G$2:$G$995)=IF($C$3="July",7,IF($C$3="August",8,0))))*'SERVICE ON HOLD'!$E$2:$E$995)</f>
        <v>3232.2000000000007</v>
      </c>
    </row>
    <row r="264" spans="1:3" ht="15" customHeight="1">
      <c r="A264" s="10" t="s">
        <v>92</v>
      </c>
      <c r="B264" s="11">
        <f>SUMPRODUCT(('NEW SERVICE &amp; RESUME REQUESTS'!$B$4:$B$995=A264)*('NEW SERVICE &amp; RESUME REQUESTS'!$C$4:$C$995="New Service &amp; Resume Requests")*(($C$3="All")+(MONTH('NEW SERVICE &amp; RESUME REQUESTS'!$G$4:$G$995)=IF($C$3="July",7,IF($C$3="August",8,0)))))+SUMPRODUCT(('PLACED &amp; SCHEDULED ORDERS'!$B$2:$B$995=A264)*('PLACED &amp; SCHEDULED ORDERS'!$C$2:$C$995="New Service &amp; Resume Requests")*(($C$3="All")+(MONTH('PLACED &amp; SCHEDULED ORDERS'!$G$2:$G$995)=IF($C$3="July",7,IF($C$3="August",8,0)))))+SUMPRODUCT(('ORDERS TAKEN OR GIVEN BACK'!$B$2:$B$995=A264)*('ORDERS TAKEN OR GIVEN BACK'!$C$2:$C$995="New Service &amp; Resume Requests")*(($C$3="All")+(MONTH('ORDERS TAKEN OR GIVEN BACK'!$G$2:$G$995)=IF($C$3="July",7,IF($C$3="August",8,0)))))+SUMPRODUCT(('SERVICE ON HOLD'!$B$2:$B$995=A264)*('SERVICE ON HOLD'!$C$2:$C$995="New Service &amp; Resume Requests")*(($C$3="All")+(MONTH('SERVICE ON HOLD'!$G$2:$G$995)=IF($C$3="July",7,IF($C$3="August",8,0)))))</f>
        <v>15</v>
      </c>
      <c r="C264" s="22">
        <f>SUMPRODUCT(('NEW SERVICE &amp; RESUME REQUESTS'!$B$4:$B$995=A264)*('NEW SERVICE &amp; RESUME REQUESTS'!$C$4:$C$995="New Service &amp; Resume Requests")*(($C$3="All")+(MONTH('NEW SERVICE &amp; RESUME REQUESTS'!$G$4:$G$995)=IF($C$3="July",7,IF($C$3="August",8,0))))*'NEW SERVICE &amp; RESUME REQUESTS'!$E$4:$E$995)+SUMPRODUCT(('PLACED &amp; SCHEDULED ORDERS'!$B$2:$B$995=A264)*('PLACED &amp; SCHEDULED ORDERS'!$C$2:$C$995="New Service &amp; Resume Requests")*(($C$3="All")+(MONTH('PLACED &amp; SCHEDULED ORDERS'!$G$2:$G$995)=IF($C$3="July",7,IF($C$3="August",8,0))))*'PLACED &amp; SCHEDULED ORDERS'!$E$2:$E$995)+SUMPRODUCT(('ORDERS TAKEN OR GIVEN BACK'!$B$2:$B$995=A264)*('ORDERS TAKEN OR GIVEN BACK'!$C$2:$C$995="New Service &amp; Resume Requests")*(($C$3="All")+(MONTH('ORDERS TAKEN OR GIVEN BACK'!$G$2:$G$995)=IF($C$3="July",7,IF($C$3="August",8,0))))*'ORDERS TAKEN OR GIVEN BACK'!$E$2:$E$995)+SUMPRODUCT(('SERVICE ON HOLD'!$B$2:$B$995=A264)*('SERVICE ON HOLD'!$C$2:$C$995="New Service &amp; Resume Requests")*(($C$3="All")+(MONTH('SERVICE ON HOLD'!$G$2:$G$995)=IF($C$3="July",7,IF($C$3="August",8,0))))*'SERVICE ON HOLD'!$E$2:$E$995)</f>
        <v>3993.8000000000011</v>
      </c>
    </row>
    <row r="265" spans="1:3" ht="15" customHeight="1">
      <c r="A265" s="10" t="s">
        <v>93</v>
      </c>
      <c r="B265" s="11">
        <f>SUMPRODUCT(('NEW SERVICE &amp; RESUME REQUESTS'!$B$4:$B$995=A265)*('NEW SERVICE &amp; RESUME REQUESTS'!$C$4:$C$995="New Service &amp; Resume Requests")*(($C$3="All")+(MONTH('NEW SERVICE &amp; RESUME REQUESTS'!$G$4:$G$995)=IF($C$3="July",7,IF($C$3="August",8,0)))))+SUMPRODUCT(('PLACED &amp; SCHEDULED ORDERS'!$B$2:$B$995=A265)*('PLACED &amp; SCHEDULED ORDERS'!$C$2:$C$995="New Service &amp; Resume Requests")*(($C$3="All")+(MONTH('PLACED &amp; SCHEDULED ORDERS'!$G$2:$G$995)=IF($C$3="July",7,IF($C$3="August",8,0)))))+SUMPRODUCT(('ORDERS TAKEN OR GIVEN BACK'!$B$2:$B$995=A265)*('ORDERS TAKEN OR GIVEN BACK'!$C$2:$C$995="New Service &amp; Resume Requests")*(($C$3="All")+(MONTH('ORDERS TAKEN OR GIVEN BACK'!$G$2:$G$995)=IF($C$3="July",7,IF($C$3="August",8,0)))))+SUMPRODUCT(('SERVICE ON HOLD'!$B$2:$B$995=A265)*('SERVICE ON HOLD'!$C$2:$C$995="New Service &amp; Resume Requests")*(($C$3="All")+(MONTH('SERVICE ON HOLD'!$G$2:$G$995)=IF($C$3="July",7,IF($C$3="August",8,0)))))</f>
        <v>1</v>
      </c>
      <c r="C265" s="22">
        <f>SUMPRODUCT(('NEW SERVICE &amp; RESUME REQUESTS'!$B$4:$B$995=A265)*('NEW SERVICE &amp; RESUME REQUESTS'!$C$4:$C$995="New Service &amp; Resume Requests")*(($C$3="All")+(MONTH('NEW SERVICE &amp; RESUME REQUESTS'!$G$4:$G$995)=IF($C$3="July",7,IF($C$3="August",8,0))))*'NEW SERVICE &amp; RESUME REQUESTS'!$E$4:$E$995)+SUMPRODUCT(('PLACED &amp; SCHEDULED ORDERS'!$B$2:$B$995=A265)*('PLACED &amp; SCHEDULED ORDERS'!$C$2:$C$995="New Service &amp; Resume Requests")*(($C$3="All")+(MONTH('PLACED &amp; SCHEDULED ORDERS'!$G$2:$G$995)=IF($C$3="July",7,IF($C$3="August",8,0))))*'PLACED &amp; SCHEDULED ORDERS'!$E$2:$E$995)+SUMPRODUCT(('ORDERS TAKEN OR GIVEN BACK'!$B$2:$B$995=A265)*('ORDERS TAKEN OR GIVEN BACK'!$C$2:$C$995="New Service &amp; Resume Requests")*(($C$3="All")+(MONTH('ORDERS TAKEN OR GIVEN BACK'!$G$2:$G$995)=IF($C$3="July",7,IF($C$3="August",8,0))))*'ORDERS TAKEN OR GIVEN BACK'!$E$2:$E$995)+SUMPRODUCT(('SERVICE ON HOLD'!$B$2:$B$995=A265)*('SERVICE ON HOLD'!$C$2:$C$995="New Service &amp; Resume Requests")*(($C$3="All")+(MONTH('SERVICE ON HOLD'!$G$2:$G$995)=IF($C$3="July",7,IF($C$3="August",8,0))))*'SERVICE ON HOLD'!$E$2:$E$995)</f>
        <v>253.84</v>
      </c>
    </row>
    <row r="266" spans="1:3" ht="15" customHeight="1">
      <c r="A266" s="10" t="s">
        <v>94</v>
      </c>
      <c r="B266" s="11">
        <f>SUMPRODUCT(('NEW SERVICE &amp; RESUME REQUESTS'!$B$4:$B$995=A266)*('NEW SERVICE &amp; RESUME REQUESTS'!$C$4:$C$995="New Service &amp; Resume Requests")*(($C$3="All")+(MONTH('NEW SERVICE &amp; RESUME REQUESTS'!$G$4:$G$995)=IF($C$3="July",7,IF($C$3="August",8,0)))))+SUMPRODUCT(('PLACED &amp; SCHEDULED ORDERS'!$B$2:$B$995=A266)*('PLACED &amp; SCHEDULED ORDERS'!$C$2:$C$995="New Service &amp; Resume Requests")*(($C$3="All")+(MONTH('PLACED &amp; SCHEDULED ORDERS'!$G$2:$G$995)=IF($C$3="July",7,IF($C$3="August",8,0)))))+SUMPRODUCT(('ORDERS TAKEN OR GIVEN BACK'!$B$2:$B$995=A266)*('ORDERS TAKEN OR GIVEN BACK'!$C$2:$C$995="New Service &amp; Resume Requests")*(($C$3="All")+(MONTH('ORDERS TAKEN OR GIVEN BACK'!$G$2:$G$995)=IF($C$3="July",7,IF($C$3="August",8,0)))))+SUMPRODUCT(('SERVICE ON HOLD'!$B$2:$B$995=A266)*('SERVICE ON HOLD'!$C$2:$C$995="New Service &amp; Resume Requests")*(($C$3="All")+(MONTH('SERVICE ON HOLD'!$G$2:$G$995)=IF($C$3="July",7,IF($C$3="August",8,0)))))</f>
        <v>79</v>
      </c>
      <c r="C266" s="22">
        <f>SUMPRODUCT(('NEW SERVICE &amp; RESUME REQUESTS'!$B$4:$B$995=A266)*('NEW SERVICE &amp; RESUME REQUESTS'!$C$4:$C$995="New Service &amp; Resume Requests")*(($C$3="All")+(MONTH('NEW SERVICE &amp; RESUME REQUESTS'!$G$4:$G$995)=IF($C$3="July",7,IF($C$3="August",8,0))))*'NEW SERVICE &amp; RESUME REQUESTS'!$E$4:$E$995)+SUMPRODUCT(('PLACED &amp; SCHEDULED ORDERS'!$B$2:$B$995=A266)*('PLACED &amp; SCHEDULED ORDERS'!$C$2:$C$995="New Service &amp; Resume Requests")*(($C$3="All")+(MONTH('PLACED &amp; SCHEDULED ORDERS'!$G$2:$G$995)=IF($C$3="July",7,IF($C$3="August",8,0))))*'PLACED &amp; SCHEDULED ORDERS'!$E$2:$E$995)+SUMPRODUCT(('ORDERS TAKEN OR GIVEN BACK'!$B$2:$B$995=A266)*('ORDERS TAKEN OR GIVEN BACK'!$C$2:$C$995="New Service &amp; Resume Requests")*(($C$3="All")+(MONTH('ORDERS TAKEN OR GIVEN BACK'!$G$2:$G$995)=IF($C$3="July",7,IF($C$3="August",8,0))))*'ORDERS TAKEN OR GIVEN BACK'!$E$2:$E$995)+SUMPRODUCT(('SERVICE ON HOLD'!$B$2:$B$995=A266)*('SERVICE ON HOLD'!$C$2:$C$995="New Service &amp; Resume Requests")*(($C$3="All")+(MONTH('SERVICE ON HOLD'!$G$2:$G$995)=IF($C$3="July",7,IF($C$3="August",8,0))))*'SERVICE ON HOLD'!$E$2:$E$995)</f>
        <v>15515.969999999979</v>
      </c>
    </row>
    <row r="267" spans="1:3" ht="15" customHeight="1">
      <c r="A267" s="10" t="s">
        <v>95</v>
      </c>
      <c r="B267" s="11">
        <f>SUMPRODUCT(('NEW SERVICE &amp; RESUME REQUESTS'!$B$4:$B$995=A267)*('NEW SERVICE &amp; RESUME REQUESTS'!$C$4:$C$995="New Service &amp; Resume Requests")*(($C$3="All")+(MONTH('NEW SERVICE &amp; RESUME REQUESTS'!$G$4:$G$995)=IF($C$3="July",7,IF($C$3="August",8,0)))))+SUMPRODUCT(('PLACED &amp; SCHEDULED ORDERS'!$B$2:$B$995=A267)*('PLACED &amp; SCHEDULED ORDERS'!$C$2:$C$995="New Service &amp; Resume Requests")*(($C$3="All")+(MONTH('PLACED &amp; SCHEDULED ORDERS'!$G$2:$G$995)=IF($C$3="July",7,IF($C$3="August",8,0)))))+SUMPRODUCT(('ORDERS TAKEN OR GIVEN BACK'!$B$2:$B$995=A267)*('ORDERS TAKEN OR GIVEN BACK'!$C$2:$C$995="New Service &amp; Resume Requests")*(($C$3="All")+(MONTH('ORDERS TAKEN OR GIVEN BACK'!$G$2:$G$995)=IF($C$3="July",7,IF($C$3="August",8,0)))))+SUMPRODUCT(('SERVICE ON HOLD'!$B$2:$B$995=A267)*('SERVICE ON HOLD'!$C$2:$C$995="New Service &amp; Resume Requests")*(($C$3="All")+(MONTH('SERVICE ON HOLD'!$G$2:$G$995)=IF($C$3="July",7,IF($C$3="August",8,0)))))</f>
        <v>0</v>
      </c>
      <c r="C267" s="22">
        <f>SUMPRODUCT(('NEW SERVICE &amp; RESUME REQUESTS'!$B$4:$B$995=A267)*('NEW SERVICE &amp; RESUME REQUESTS'!$C$4:$C$995="New Service &amp; Resume Requests")*(($C$3="All")+(MONTH('NEW SERVICE &amp; RESUME REQUESTS'!$G$4:$G$995)=IF($C$3="July",7,IF($C$3="August",8,0))))*'NEW SERVICE &amp; RESUME REQUESTS'!$E$4:$E$995)+SUMPRODUCT(('PLACED &amp; SCHEDULED ORDERS'!$B$2:$B$995=A267)*('PLACED &amp; SCHEDULED ORDERS'!$C$2:$C$995="New Service &amp; Resume Requests")*(($C$3="All")+(MONTH('PLACED &amp; SCHEDULED ORDERS'!$G$2:$G$995)=IF($C$3="July",7,IF($C$3="August",8,0))))*'PLACED &amp; SCHEDULED ORDERS'!$E$2:$E$995)+SUMPRODUCT(('ORDERS TAKEN OR GIVEN BACK'!$B$2:$B$995=A267)*('ORDERS TAKEN OR GIVEN BACK'!$C$2:$C$995="New Service &amp; Resume Requests")*(($C$3="All")+(MONTH('ORDERS TAKEN OR GIVEN BACK'!$G$2:$G$995)=IF($C$3="July",7,IF($C$3="August",8,0))))*'ORDERS TAKEN OR GIVEN BACK'!$E$2:$E$995)+SUMPRODUCT(('SERVICE ON HOLD'!$B$2:$B$995=A267)*('SERVICE ON HOLD'!$C$2:$C$995="New Service &amp; Resume Requests")*(($C$3="All")+(MONTH('SERVICE ON HOLD'!$G$2:$G$995)=IF($C$3="July",7,IF($C$3="August",8,0))))*'SERVICE ON HOLD'!$E$2:$E$995)</f>
        <v>0</v>
      </c>
    </row>
    <row r="268" spans="1:3" ht="15" customHeight="1">
      <c r="A268" s="10" t="s">
        <v>96</v>
      </c>
      <c r="B268" s="11">
        <f>SUMPRODUCT(('NEW SERVICE &amp; RESUME REQUESTS'!$B$4:$B$995=A268)*('NEW SERVICE &amp; RESUME REQUESTS'!$C$4:$C$995="New Service &amp; Resume Requests")*(($C$3="All")+(MONTH('NEW SERVICE &amp; RESUME REQUESTS'!$G$4:$G$995)=IF($C$3="July",7,IF($C$3="August",8,0)))))+SUMPRODUCT(('PLACED &amp; SCHEDULED ORDERS'!$B$2:$B$995=A268)*('PLACED &amp; SCHEDULED ORDERS'!$C$2:$C$995="New Service &amp; Resume Requests")*(($C$3="All")+(MONTH('PLACED &amp; SCHEDULED ORDERS'!$G$2:$G$995)=IF($C$3="July",7,IF($C$3="August",8,0)))))+SUMPRODUCT(('ORDERS TAKEN OR GIVEN BACK'!$B$2:$B$995=A268)*('ORDERS TAKEN OR GIVEN BACK'!$C$2:$C$995="New Service &amp; Resume Requests")*(($C$3="All")+(MONTH('ORDERS TAKEN OR GIVEN BACK'!$G$2:$G$995)=IF($C$3="July",7,IF($C$3="August",8,0)))))+SUMPRODUCT(('SERVICE ON HOLD'!$B$2:$B$995=A268)*('SERVICE ON HOLD'!$C$2:$C$995="New Service &amp; Resume Requests")*(($C$3="All")+(MONTH('SERVICE ON HOLD'!$G$2:$G$995)=IF($C$3="July",7,IF($C$3="August",8,0)))))</f>
        <v>0</v>
      </c>
      <c r="C268" s="22">
        <f>SUMPRODUCT(('NEW SERVICE &amp; RESUME REQUESTS'!$B$4:$B$995=A268)*('NEW SERVICE &amp; RESUME REQUESTS'!$C$4:$C$995="New Service &amp; Resume Requests")*(($C$3="All")+(MONTH('NEW SERVICE &amp; RESUME REQUESTS'!$G$4:$G$995)=IF($C$3="July",7,IF($C$3="August",8,0))))*'NEW SERVICE &amp; RESUME REQUESTS'!$E$4:$E$995)+SUMPRODUCT(('PLACED &amp; SCHEDULED ORDERS'!$B$2:$B$995=A268)*('PLACED &amp; SCHEDULED ORDERS'!$C$2:$C$995="New Service &amp; Resume Requests")*(($C$3="All")+(MONTH('PLACED &amp; SCHEDULED ORDERS'!$G$2:$G$995)=IF($C$3="July",7,IF($C$3="August",8,0))))*'PLACED &amp; SCHEDULED ORDERS'!$E$2:$E$995)+SUMPRODUCT(('ORDERS TAKEN OR GIVEN BACK'!$B$2:$B$995=A268)*('ORDERS TAKEN OR GIVEN BACK'!$C$2:$C$995="New Service &amp; Resume Requests")*(($C$3="All")+(MONTH('ORDERS TAKEN OR GIVEN BACK'!$G$2:$G$995)=IF($C$3="July",7,IF($C$3="August",8,0))))*'ORDERS TAKEN OR GIVEN BACK'!$E$2:$E$995)+SUMPRODUCT(('SERVICE ON HOLD'!$B$2:$B$995=A268)*('SERVICE ON HOLD'!$C$2:$C$995="New Service &amp; Resume Requests")*(($C$3="All")+(MONTH('SERVICE ON HOLD'!$G$2:$G$995)=IF($C$3="July",7,IF($C$3="August",8,0))))*'SERVICE ON HOLD'!$E$2:$E$995)</f>
        <v>0</v>
      </c>
    </row>
  </sheetData>
  <mergeCells count="13">
    <mergeCell ref="K7:L7"/>
    <mergeCell ref="A7:B7"/>
    <mergeCell ref="C7:D7"/>
    <mergeCell ref="E7:F7"/>
    <mergeCell ref="G7:H7"/>
    <mergeCell ref="I7:J7"/>
    <mergeCell ref="A1:L1"/>
    <mergeCell ref="A6:B6"/>
    <mergeCell ref="C6:D6"/>
    <mergeCell ref="E6:F6"/>
    <mergeCell ref="G6:H6"/>
    <mergeCell ref="I6:J6"/>
    <mergeCell ref="K6:L6"/>
  </mergeCells>
  <dataValidations count="1">
    <dataValidation type="list" allowBlank="1" sqref="C3" xr:uid="{00000000-0002-0000-0000-000000000000}">
      <formula1>"All,July,August"</formula1>
      <formula2>0</formula2>
    </dataValidation>
  </dataValidations>
  <pageMargins left="0.75" right="0.75" top="1" bottom="1"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44"/>
  <sheetViews>
    <sheetView zoomScaleNormal="100" workbookViewId="0">
      <pane ySplit="3" topLeftCell="A4" activePane="bottomLeft" state="frozen"/>
      <selection pane="bottomLeft" activeCell="A3" sqref="A3"/>
    </sheetView>
  </sheetViews>
  <sheetFormatPr defaultColWidth="8.7109375" defaultRowHeight="15"/>
  <cols>
    <col min="1" max="1" width="6" customWidth="1"/>
    <col min="2" max="2" width="14" customWidth="1"/>
    <col min="3" max="3" width="30" customWidth="1"/>
    <col min="4" max="4" width="32" customWidth="1"/>
    <col min="5" max="5" width="12" customWidth="1"/>
    <col min="6" max="6" width="22" customWidth="1"/>
    <col min="7" max="7" width="18" customWidth="1"/>
  </cols>
  <sheetData>
    <row r="1" spans="1:7" ht="15" customHeight="1">
      <c r="A1" s="46" t="s">
        <v>99</v>
      </c>
      <c r="B1" s="46"/>
      <c r="C1" s="46"/>
      <c r="D1" s="46"/>
      <c r="E1" s="46"/>
      <c r="F1" s="46"/>
    </row>
    <row r="2" spans="1:7" ht="27.75" customHeight="1">
      <c r="A2" s="45" t="s">
        <v>100</v>
      </c>
      <c r="B2" s="45"/>
      <c r="C2" s="45"/>
      <c r="D2" s="45"/>
      <c r="E2" s="45"/>
      <c r="F2" s="45"/>
    </row>
    <row r="3" spans="1:7" ht="15" customHeight="1">
      <c r="A3" s="23" t="s">
        <v>101</v>
      </c>
      <c r="B3" s="23" t="s">
        <v>88</v>
      </c>
      <c r="C3" s="23" t="s">
        <v>102</v>
      </c>
      <c r="D3" s="23" t="s">
        <v>103</v>
      </c>
      <c r="E3" s="23" t="s">
        <v>13</v>
      </c>
      <c r="F3" s="23" t="s">
        <v>104</v>
      </c>
      <c r="G3" s="24" t="s">
        <v>105</v>
      </c>
    </row>
    <row r="4" spans="1:7" ht="15" customHeight="1">
      <c r="A4" s="11">
        <v>1</v>
      </c>
      <c r="B4" s="11" t="s">
        <v>90</v>
      </c>
      <c r="C4" s="11" t="s">
        <v>106</v>
      </c>
      <c r="D4" s="19" t="s">
        <v>107</v>
      </c>
      <c r="E4" s="25">
        <v>380.76</v>
      </c>
      <c r="F4" s="19" t="s">
        <v>39</v>
      </c>
      <c r="G4" s="26">
        <v>46204</v>
      </c>
    </row>
    <row r="5" spans="1:7" ht="15" customHeight="1">
      <c r="A5" s="11">
        <v>2</v>
      </c>
      <c r="B5" s="11" t="s">
        <v>90</v>
      </c>
      <c r="C5" s="11" t="s">
        <v>106</v>
      </c>
      <c r="D5" s="19" t="s">
        <v>108</v>
      </c>
      <c r="E5" s="25">
        <v>190.38</v>
      </c>
      <c r="F5" s="19" t="s">
        <v>39</v>
      </c>
      <c r="G5" s="26">
        <v>46205</v>
      </c>
    </row>
    <row r="6" spans="1:7" ht="15" customHeight="1">
      <c r="A6" s="11">
        <v>3</v>
      </c>
      <c r="B6" s="11" t="s">
        <v>90</v>
      </c>
      <c r="C6" s="11" t="s">
        <v>106</v>
      </c>
      <c r="D6" s="19" t="s">
        <v>109</v>
      </c>
      <c r="E6" s="25">
        <v>253.84</v>
      </c>
      <c r="F6" s="19" t="s">
        <v>16</v>
      </c>
      <c r="G6" s="26">
        <v>46205</v>
      </c>
    </row>
    <row r="7" spans="1:7" ht="15" customHeight="1">
      <c r="A7" s="11">
        <v>4</v>
      </c>
      <c r="B7" s="11" t="s">
        <v>90</v>
      </c>
      <c r="C7" s="11" t="s">
        <v>106</v>
      </c>
      <c r="D7" s="19" t="s">
        <v>110</v>
      </c>
      <c r="E7" s="25">
        <v>190.38</v>
      </c>
      <c r="F7" s="19" t="s">
        <v>16</v>
      </c>
      <c r="G7" s="26">
        <v>46205</v>
      </c>
    </row>
    <row r="8" spans="1:7" ht="15" customHeight="1">
      <c r="A8" s="11">
        <v>5</v>
      </c>
      <c r="B8" s="11" t="s">
        <v>90</v>
      </c>
      <c r="C8" s="11" t="s">
        <v>106</v>
      </c>
      <c r="D8" s="19" t="s">
        <v>111</v>
      </c>
      <c r="E8" s="25">
        <v>190.38</v>
      </c>
      <c r="F8" s="19" t="s">
        <v>16</v>
      </c>
      <c r="G8" s="26">
        <v>46206</v>
      </c>
    </row>
    <row r="9" spans="1:7" ht="15" customHeight="1">
      <c r="A9" s="11">
        <v>6</v>
      </c>
      <c r="B9" s="11" t="s">
        <v>90</v>
      </c>
      <c r="C9" s="11" t="s">
        <v>106</v>
      </c>
      <c r="D9" s="19" t="s">
        <v>112</v>
      </c>
      <c r="E9" s="25">
        <v>190.38</v>
      </c>
      <c r="F9" s="19" t="s">
        <v>39</v>
      </c>
      <c r="G9" s="26">
        <v>46206</v>
      </c>
    </row>
    <row r="10" spans="1:7" ht="15" customHeight="1">
      <c r="A10" s="11">
        <v>7</v>
      </c>
      <c r="B10" s="11" t="s">
        <v>90</v>
      </c>
      <c r="C10" s="11" t="s">
        <v>106</v>
      </c>
      <c r="D10" s="19" t="s">
        <v>113</v>
      </c>
      <c r="E10" s="25">
        <v>190.38</v>
      </c>
      <c r="F10" s="19" t="s">
        <v>39</v>
      </c>
      <c r="G10" s="26">
        <v>46206</v>
      </c>
    </row>
    <row r="11" spans="1:7" ht="15" customHeight="1">
      <c r="A11" s="11">
        <v>8</v>
      </c>
      <c r="B11" s="11" t="s">
        <v>90</v>
      </c>
      <c r="C11" s="11" t="s">
        <v>106</v>
      </c>
      <c r="D11" s="19" t="s">
        <v>114</v>
      </c>
      <c r="E11" s="25">
        <v>190.38</v>
      </c>
      <c r="F11" s="19" t="s">
        <v>39</v>
      </c>
      <c r="G11" s="26">
        <v>46206</v>
      </c>
    </row>
    <row r="12" spans="1:7" ht="15" customHeight="1">
      <c r="A12" s="11">
        <v>9</v>
      </c>
      <c r="B12" s="11" t="s">
        <v>90</v>
      </c>
      <c r="C12" s="11" t="s">
        <v>106</v>
      </c>
      <c r="D12" s="19" t="s">
        <v>115</v>
      </c>
      <c r="E12" s="25">
        <v>253.84</v>
      </c>
      <c r="F12" s="19" t="s">
        <v>16</v>
      </c>
      <c r="G12" s="26">
        <v>46207</v>
      </c>
    </row>
    <row r="13" spans="1:7" ht="15" customHeight="1">
      <c r="A13" s="11">
        <v>10</v>
      </c>
      <c r="B13" s="11" t="s">
        <v>90</v>
      </c>
      <c r="C13" s="11" t="s">
        <v>106</v>
      </c>
      <c r="D13" s="19" t="s">
        <v>116</v>
      </c>
      <c r="E13" s="25">
        <v>190.38</v>
      </c>
      <c r="F13" s="19" t="s">
        <v>16</v>
      </c>
      <c r="G13" s="26">
        <v>46208</v>
      </c>
    </row>
    <row r="14" spans="1:7" ht="15" customHeight="1">
      <c r="A14" s="11">
        <v>11</v>
      </c>
      <c r="B14" s="11" t="s">
        <v>90</v>
      </c>
      <c r="C14" s="11" t="s">
        <v>106</v>
      </c>
      <c r="D14" s="19" t="s">
        <v>117</v>
      </c>
      <c r="E14" s="25">
        <v>253.84</v>
      </c>
      <c r="F14" s="19" t="s">
        <v>16</v>
      </c>
      <c r="G14" s="26">
        <v>46208</v>
      </c>
    </row>
    <row r="15" spans="1:7" ht="15" customHeight="1">
      <c r="A15" s="11">
        <v>12</v>
      </c>
      <c r="B15" s="11" t="s">
        <v>90</v>
      </c>
      <c r="C15" s="11" t="s">
        <v>106</v>
      </c>
      <c r="D15" s="19" t="s">
        <v>118</v>
      </c>
      <c r="E15" s="25">
        <v>253.84</v>
      </c>
      <c r="F15" s="19" t="s">
        <v>39</v>
      </c>
      <c r="G15" s="26">
        <v>46208</v>
      </c>
    </row>
    <row r="16" spans="1:7" ht="15" customHeight="1">
      <c r="A16" s="11">
        <v>13</v>
      </c>
      <c r="B16" s="11" t="s">
        <v>90</v>
      </c>
      <c r="C16" s="11" t="s">
        <v>106</v>
      </c>
      <c r="D16" s="19" t="s">
        <v>119</v>
      </c>
      <c r="E16" s="25">
        <v>190.38</v>
      </c>
      <c r="F16" s="19" t="s">
        <v>16</v>
      </c>
      <c r="G16" s="26">
        <v>46209</v>
      </c>
    </row>
    <row r="17" spans="1:7" ht="15" customHeight="1">
      <c r="A17" s="11">
        <v>14</v>
      </c>
      <c r="B17" s="11" t="s">
        <v>90</v>
      </c>
      <c r="C17" s="11" t="s">
        <v>106</v>
      </c>
      <c r="D17" s="19" t="s">
        <v>120</v>
      </c>
      <c r="E17" s="25">
        <v>126.92</v>
      </c>
      <c r="F17" s="19" t="s">
        <v>30</v>
      </c>
      <c r="G17" s="26">
        <v>46209</v>
      </c>
    </row>
    <row r="18" spans="1:7" ht="15" customHeight="1">
      <c r="A18" s="11">
        <v>15</v>
      </c>
      <c r="B18" s="11" t="s">
        <v>90</v>
      </c>
      <c r="C18" s="11" t="s">
        <v>106</v>
      </c>
      <c r="D18" s="19" t="s">
        <v>121</v>
      </c>
      <c r="E18" s="25">
        <v>253.84</v>
      </c>
      <c r="F18" s="19" t="s">
        <v>16</v>
      </c>
      <c r="G18" s="26">
        <v>46209</v>
      </c>
    </row>
    <row r="19" spans="1:7" ht="15" customHeight="1">
      <c r="A19" s="11">
        <v>16</v>
      </c>
      <c r="B19" s="11" t="s">
        <v>90</v>
      </c>
      <c r="C19" s="11" t="s">
        <v>106</v>
      </c>
      <c r="D19" s="19" t="s">
        <v>122</v>
      </c>
      <c r="E19" s="25">
        <v>253.84</v>
      </c>
      <c r="F19" s="19" t="s">
        <v>16</v>
      </c>
      <c r="G19" s="26">
        <v>46209</v>
      </c>
    </row>
    <row r="20" spans="1:7" ht="15" customHeight="1">
      <c r="A20" s="11">
        <v>17</v>
      </c>
      <c r="B20" s="11" t="s">
        <v>90</v>
      </c>
      <c r="C20" s="11" t="s">
        <v>106</v>
      </c>
      <c r="D20" s="19" t="s">
        <v>123</v>
      </c>
      <c r="E20" s="25">
        <v>325.56</v>
      </c>
      <c r="F20" s="19" t="s">
        <v>28</v>
      </c>
      <c r="G20" s="26">
        <v>46209</v>
      </c>
    </row>
    <row r="21" spans="1:7" ht="15" customHeight="1">
      <c r="A21" s="11">
        <v>18</v>
      </c>
      <c r="B21" s="11" t="s">
        <v>90</v>
      </c>
      <c r="C21" s="11" t="s">
        <v>106</v>
      </c>
      <c r="D21" s="19" t="s">
        <v>124</v>
      </c>
      <c r="E21" s="25">
        <v>190.38</v>
      </c>
      <c r="F21" s="19" t="s">
        <v>39</v>
      </c>
      <c r="G21" s="26">
        <v>46210</v>
      </c>
    </row>
    <row r="22" spans="1:7" ht="15" customHeight="1">
      <c r="A22" s="11">
        <v>19</v>
      </c>
      <c r="B22" s="11" t="s">
        <v>90</v>
      </c>
      <c r="C22" s="11" t="s">
        <v>106</v>
      </c>
      <c r="D22" s="19" t="s">
        <v>125</v>
      </c>
      <c r="E22" s="25">
        <v>253.84</v>
      </c>
      <c r="F22" s="19" t="s">
        <v>16</v>
      </c>
      <c r="G22" s="26">
        <v>46210</v>
      </c>
    </row>
    <row r="23" spans="1:7" ht="15" customHeight="1">
      <c r="A23" s="11">
        <v>20</v>
      </c>
      <c r="B23" s="11" t="s">
        <v>90</v>
      </c>
      <c r="C23" s="11" t="s">
        <v>106</v>
      </c>
      <c r="D23" s="19" t="s">
        <v>126</v>
      </c>
      <c r="E23" s="25">
        <v>95.19</v>
      </c>
      <c r="F23" s="19" t="s">
        <v>33</v>
      </c>
      <c r="G23" s="26">
        <v>46210</v>
      </c>
    </row>
    <row r="24" spans="1:7" ht="15" customHeight="1">
      <c r="A24" s="11">
        <v>21</v>
      </c>
      <c r="B24" s="11" t="s">
        <v>90</v>
      </c>
      <c r="C24" s="11" t="s">
        <v>106</v>
      </c>
      <c r="D24" s="19" t="s">
        <v>127</v>
      </c>
      <c r="E24" s="25">
        <v>527.44000000000005</v>
      </c>
      <c r="F24" s="19" t="s">
        <v>75</v>
      </c>
      <c r="G24" s="26">
        <v>46210</v>
      </c>
    </row>
    <row r="25" spans="1:7" ht="15" customHeight="1">
      <c r="A25" s="11">
        <v>22</v>
      </c>
      <c r="B25" s="11" t="s">
        <v>90</v>
      </c>
      <c r="C25" s="11" t="s">
        <v>106</v>
      </c>
      <c r="D25" s="19" t="s">
        <v>128</v>
      </c>
      <c r="E25" s="25">
        <v>95.19</v>
      </c>
      <c r="F25" s="19" t="s">
        <v>16</v>
      </c>
      <c r="G25" s="26">
        <v>46211</v>
      </c>
    </row>
    <row r="26" spans="1:7" ht="15" customHeight="1">
      <c r="A26" s="11">
        <v>23</v>
      </c>
      <c r="B26" s="11" t="s">
        <v>90</v>
      </c>
      <c r="C26" s="11" t="s">
        <v>106</v>
      </c>
      <c r="D26" s="19" t="s">
        <v>129</v>
      </c>
      <c r="E26" s="25">
        <v>126.92</v>
      </c>
      <c r="F26" s="19" t="s">
        <v>16</v>
      </c>
      <c r="G26" s="26">
        <v>46211</v>
      </c>
    </row>
    <row r="27" spans="1:7" ht="15" customHeight="1">
      <c r="A27" s="11">
        <v>24</v>
      </c>
      <c r="B27" s="11" t="s">
        <v>90</v>
      </c>
      <c r="C27" s="11" t="s">
        <v>106</v>
      </c>
      <c r="D27" s="19" t="s">
        <v>130</v>
      </c>
      <c r="E27" s="25">
        <v>190.38</v>
      </c>
      <c r="F27" s="19" t="s">
        <v>39</v>
      </c>
      <c r="G27" s="26">
        <v>46212</v>
      </c>
    </row>
    <row r="28" spans="1:7" ht="15" customHeight="1">
      <c r="A28" s="11">
        <v>25</v>
      </c>
      <c r="B28" s="11" t="s">
        <v>90</v>
      </c>
      <c r="C28" s="11" t="s">
        <v>106</v>
      </c>
      <c r="D28" s="19" t="s">
        <v>131</v>
      </c>
      <c r="E28" s="25">
        <v>253.84</v>
      </c>
      <c r="F28" s="19" t="s">
        <v>16</v>
      </c>
      <c r="G28" s="26">
        <v>46213</v>
      </c>
    </row>
    <row r="29" spans="1:7" ht="15" customHeight="1">
      <c r="A29" s="11">
        <v>26</v>
      </c>
      <c r="B29" s="11" t="s">
        <v>90</v>
      </c>
      <c r="C29" s="11" t="s">
        <v>106</v>
      </c>
      <c r="D29" s="19" t="s">
        <v>132</v>
      </c>
      <c r="E29" s="25">
        <v>253.84</v>
      </c>
      <c r="F29" s="19" t="s">
        <v>16</v>
      </c>
      <c r="G29" s="26">
        <v>46214</v>
      </c>
    </row>
    <row r="30" spans="1:7" ht="15" customHeight="1">
      <c r="A30" s="11">
        <v>27</v>
      </c>
      <c r="B30" s="11" t="s">
        <v>90</v>
      </c>
      <c r="C30" s="11" t="s">
        <v>106</v>
      </c>
      <c r="D30" s="19" t="s">
        <v>133</v>
      </c>
      <c r="E30" s="25">
        <v>190.38</v>
      </c>
      <c r="F30" s="19" t="s">
        <v>16</v>
      </c>
      <c r="G30" s="26">
        <v>46214</v>
      </c>
    </row>
    <row r="31" spans="1:7" ht="15" customHeight="1">
      <c r="A31" s="11">
        <v>28</v>
      </c>
      <c r="B31" s="11" t="s">
        <v>90</v>
      </c>
      <c r="C31" s="11" t="s">
        <v>106</v>
      </c>
      <c r="D31" s="19" t="s">
        <v>134</v>
      </c>
      <c r="E31" s="25">
        <v>253.84</v>
      </c>
      <c r="F31" s="19" t="s">
        <v>16</v>
      </c>
      <c r="G31" s="26">
        <v>46214</v>
      </c>
    </row>
    <row r="32" spans="1:7" ht="15" customHeight="1">
      <c r="A32" s="11">
        <v>29</v>
      </c>
      <c r="B32" s="11" t="s">
        <v>91</v>
      </c>
      <c r="C32" s="11" t="s">
        <v>106</v>
      </c>
      <c r="D32" s="19" t="s">
        <v>135</v>
      </c>
      <c r="E32" s="25">
        <v>507.68</v>
      </c>
      <c r="F32" s="19" t="s">
        <v>20</v>
      </c>
      <c r="G32" s="26">
        <v>46214</v>
      </c>
    </row>
    <row r="33" spans="1:7" ht="15" customHeight="1">
      <c r="A33" s="11">
        <v>30</v>
      </c>
      <c r="B33" s="11" t="s">
        <v>91</v>
      </c>
      <c r="C33" s="11" t="s">
        <v>106</v>
      </c>
      <c r="D33" s="19" t="s">
        <v>136</v>
      </c>
      <c r="E33" s="25">
        <v>190.38</v>
      </c>
      <c r="F33" s="19" t="s">
        <v>20</v>
      </c>
      <c r="G33" s="26">
        <v>46216</v>
      </c>
    </row>
    <row r="34" spans="1:7" ht="15" customHeight="1">
      <c r="A34" s="11">
        <v>31</v>
      </c>
      <c r="B34" s="11" t="s">
        <v>91</v>
      </c>
      <c r="C34" s="11" t="s">
        <v>106</v>
      </c>
      <c r="D34" s="19" t="s">
        <v>137</v>
      </c>
      <c r="E34" s="25">
        <v>253.84</v>
      </c>
      <c r="F34" s="19" t="s">
        <v>20</v>
      </c>
      <c r="G34" s="26">
        <v>46216</v>
      </c>
    </row>
    <row r="35" spans="1:7" ht="15" customHeight="1">
      <c r="A35" s="11">
        <v>32</v>
      </c>
      <c r="B35" s="11" t="s">
        <v>91</v>
      </c>
      <c r="C35" s="11" t="s">
        <v>106</v>
      </c>
      <c r="D35" s="19" t="s">
        <v>138</v>
      </c>
      <c r="E35" s="25">
        <v>63.46</v>
      </c>
      <c r="F35" s="19" t="s">
        <v>46</v>
      </c>
      <c r="G35" s="26">
        <v>46217</v>
      </c>
    </row>
    <row r="36" spans="1:7" ht="15" customHeight="1">
      <c r="A36" s="11">
        <v>33</v>
      </c>
      <c r="B36" s="11" t="s">
        <v>91</v>
      </c>
      <c r="C36" s="11" t="s">
        <v>106</v>
      </c>
      <c r="D36" s="19" t="s">
        <v>139</v>
      </c>
      <c r="E36" s="25">
        <v>126.92</v>
      </c>
      <c r="F36" s="19" t="s">
        <v>20</v>
      </c>
      <c r="G36" s="26">
        <v>46217</v>
      </c>
    </row>
    <row r="37" spans="1:7" ht="15" customHeight="1">
      <c r="A37" s="11">
        <v>34</v>
      </c>
      <c r="B37" s="11" t="s">
        <v>91</v>
      </c>
      <c r="C37" s="11" t="s">
        <v>106</v>
      </c>
      <c r="D37" s="19" t="s">
        <v>140</v>
      </c>
      <c r="E37" s="25">
        <v>190.38</v>
      </c>
      <c r="F37" s="19" t="s">
        <v>20</v>
      </c>
      <c r="G37" s="26">
        <v>46217</v>
      </c>
    </row>
    <row r="38" spans="1:7" ht="15" customHeight="1">
      <c r="A38" s="11">
        <v>35</v>
      </c>
      <c r="B38" s="11" t="s">
        <v>91</v>
      </c>
      <c r="C38" s="11" t="s">
        <v>106</v>
      </c>
      <c r="D38" s="19" t="s">
        <v>141</v>
      </c>
      <c r="E38" s="25">
        <v>190.38</v>
      </c>
      <c r="F38" s="19" t="s">
        <v>20</v>
      </c>
      <c r="G38" s="26">
        <v>46217</v>
      </c>
    </row>
    <row r="39" spans="1:7" ht="15" customHeight="1">
      <c r="A39" s="11">
        <v>36</v>
      </c>
      <c r="B39" s="11" t="s">
        <v>91</v>
      </c>
      <c r="C39" s="11" t="s">
        <v>106</v>
      </c>
      <c r="D39" s="19" t="s">
        <v>142</v>
      </c>
      <c r="E39" s="25">
        <v>253.84</v>
      </c>
      <c r="F39" s="19" t="s">
        <v>20</v>
      </c>
      <c r="G39" s="26">
        <v>46218</v>
      </c>
    </row>
    <row r="40" spans="1:7" ht="15" customHeight="1">
      <c r="A40" s="11">
        <v>37</v>
      </c>
      <c r="B40" s="11" t="s">
        <v>91</v>
      </c>
      <c r="C40" s="11" t="s">
        <v>106</v>
      </c>
      <c r="D40" s="19" t="s">
        <v>143</v>
      </c>
      <c r="E40" s="25">
        <v>126.92</v>
      </c>
      <c r="F40" s="19" t="s">
        <v>20</v>
      </c>
      <c r="G40" s="26">
        <v>46218</v>
      </c>
    </row>
    <row r="41" spans="1:7" ht="15" customHeight="1">
      <c r="A41" s="11">
        <v>38</v>
      </c>
      <c r="B41" s="11" t="s">
        <v>91</v>
      </c>
      <c r="C41" s="11" t="s">
        <v>106</v>
      </c>
      <c r="D41" s="19" t="s">
        <v>144</v>
      </c>
      <c r="E41" s="25">
        <v>190.38</v>
      </c>
      <c r="F41" s="19" t="s">
        <v>20</v>
      </c>
      <c r="G41" s="26">
        <v>46218</v>
      </c>
    </row>
    <row r="42" spans="1:7" ht="15" customHeight="1">
      <c r="A42" s="11">
        <v>39</v>
      </c>
      <c r="B42" s="11" t="s">
        <v>91</v>
      </c>
      <c r="C42" s="11" t="s">
        <v>106</v>
      </c>
      <c r="D42" s="19" t="s">
        <v>145</v>
      </c>
      <c r="E42" s="25">
        <v>190.38</v>
      </c>
      <c r="F42" s="19" t="s">
        <v>46</v>
      </c>
      <c r="G42" s="26">
        <v>46218</v>
      </c>
    </row>
    <row r="43" spans="1:7" ht="15" customHeight="1">
      <c r="A43" s="11">
        <v>40</v>
      </c>
      <c r="B43" s="11" t="s">
        <v>91</v>
      </c>
      <c r="C43" s="11" t="s">
        <v>106</v>
      </c>
      <c r="D43" s="19" t="s">
        <v>146</v>
      </c>
      <c r="E43" s="25">
        <v>190.38</v>
      </c>
      <c r="F43" s="19" t="s">
        <v>20</v>
      </c>
      <c r="G43" s="26">
        <v>46218</v>
      </c>
    </row>
    <row r="44" spans="1:7" ht="15" customHeight="1">
      <c r="A44" s="11">
        <v>41</v>
      </c>
      <c r="B44" s="11" t="s">
        <v>91</v>
      </c>
      <c r="C44" s="11" t="s">
        <v>106</v>
      </c>
      <c r="D44" s="19" t="s">
        <v>147</v>
      </c>
      <c r="E44" s="25">
        <v>126.92</v>
      </c>
      <c r="F44" s="19" t="s">
        <v>20</v>
      </c>
      <c r="G44" s="26">
        <v>46218</v>
      </c>
    </row>
    <row r="45" spans="1:7" ht="15" customHeight="1">
      <c r="A45" s="11">
        <v>42</v>
      </c>
      <c r="B45" s="11" t="s">
        <v>91</v>
      </c>
      <c r="C45" s="11" t="s">
        <v>106</v>
      </c>
      <c r="D45" s="19" t="s">
        <v>148</v>
      </c>
      <c r="E45" s="25">
        <v>190.38</v>
      </c>
      <c r="F45" s="19" t="s">
        <v>20</v>
      </c>
      <c r="G45" s="26">
        <v>46218</v>
      </c>
    </row>
    <row r="46" spans="1:7" ht="15" customHeight="1">
      <c r="A46" s="11">
        <v>43</v>
      </c>
      <c r="B46" s="11" t="s">
        <v>91</v>
      </c>
      <c r="C46" s="11" t="s">
        <v>106</v>
      </c>
      <c r="D46" s="19" t="s">
        <v>149</v>
      </c>
      <c r="E46" s="25">
        <v>54.26</v>
      </c>
      <c r="F46" s="19" t="s">
        <v>20</v>
      </c>
      <c r="G46" s="26">
        <v>46219</v>
      </c>
    </row>
    <row r="47" spans="1:7" ht="15" customHeight="1">
      <c r="A47" s="11">
        <v>44</v>
      </c>
      <c r="B47" s="11" t="s">
        <v>91</v>
      </c>
      <c r="C47" s="11" t="s">
        <v>106</v>
      </c>
      <c r="D47" s="19" t="s">
        <v>150</v>
      </c>
      <c r="E47" s="25">
        <v>126.92</v>
      </c>
      <c r="F47" s="19" t="s">
        <v>20</v>
      </c>
      <c r="G47" s="26">
        <v>46219</v>
      </c>
    </row>
    <row r="48" spans="1:7" ht="15" customHeight="1">
      <c r="A48" s="11">
        <v>45</v>
      </c>
      <c r="B48" s="11" t="s">
        <v>91</v>
      </c>
      <c r="C48" s="11" t="s">
        <v>106</v>
      </c>
      <c r="D48" s="19" t="s">
        <v>151</v>
      </c>
      <c r="E48" s="25">
        <v>131.86000000000001</v>
      </c>
      <c r="F48" s="19" t="s">
        <v>46</v>
      </c>
      <c r="G48" s="26">
        <v>46220</v>
      </c>
    </row>
    <row r="49" spans="1:7" ht="15" customHeight="1">
      <c r="A49" s="11">
        <v>46</v>
      </c>
      <c r="B49" s="11" t="s">
        <v>91</v>
      </c>
      <c r="C49" s="11" t="s">
        <v>106</v>
      </c>
      <c r="D49" s="19" t="s">
        <v>152</v>
      </c>
      <c r="E49" s="25">
        <v>126.92</v>
      </c>
      <c r="F49" s="19" t="s">
        <v>46</v>
      </c>
      <c r="G49" s="26">
        <v>46221</v>
      </c>
    </row>
    <row r="50" spans="1:7" ht="15" customHeight="1">
      <c r="A50" s="11">
        <v>47</v>
      </c>
      <c r="B50" s="11" t="s">
        <v>92</v>
      </c>
      <c r="C50" s="11" t="s">
        <v>106</v>
      </c>
      <c r="D50" s="19" t="s">
        <v>153</v>
      </c>
      <c r="E50" s="25">
        <v>791.16</v>
      </c>
      <c r="F50" s="19" t="s">
        <v>75</v>
      </c>
      <c r="G50" s="26">
        <v>46221</v>
      </c>
    </row>
    <row r="51" spans="1:7" ht="15" customHeight="1">
      <c r="A51" s="11">
        <v>48</v>
      </c>
      <c r="B51" s="11" t="s">
        <v>92</v>
      </c>
      <c r="C51" s="11" t="s">
        <v>106</v>
      </c>
      <c r="D51" s="19" t="s">
        <v>154</v>
      </c>
      <c r="E51" s="25">
        <v>190.38</v>
      </c>
      <c r="F51" s="19" t="s">
        <v>31</v>
      </c>
      <c r="G51" s="26">
        <v>46221</v>
      </c>
    </row>
    <row r="52" spans="1:7" ht="15" customHeight="1">
      <c r="A52" s="11">
        <v>49</v>
      </c>
      <c r="B52" s="11" t="s">
        <v>92</v>
      </c>
      <c r="C52" s="11" t="s">
        <v>106</v>
      </c>
      <c r="D52" s="19" t="s">
        <v>155</v>
      </c>
      <c r="E52" s="25">
        <v>126.92</v>
      </c>
      <c r="F52" s="19" t="s">
        <v>76</v>
      </c>
      <c r="G52" s="26">
        <v>46221</v>
      </c>
    </row>
    <row r="53" spans="1:7" ht="15" customHeight="1">
      <c r="A53" s="11">
        <v>50</v>
      </c>
      <c r="B53" s="11" t="s">
        <v>92</v>
      </c>
      <c r="C53" s="11" t="s">
        <v>106</v>
      </c>
      <c r="D53" s="19" t="s">
        <v>156</v>
      </c>
      <c r="E53" s="25">
        <v>253.84</v>
      </c>
      <c r="F53" s="19" t="s">
        <v>15</v>
      </c>
      <c r="G53" s="26">
        <v>46221</v>
      </c>
    </row>
    <row r="54" spans="1:7" ht="15" customHeight="1">
      <c r="A54" s="11">
        <v>51</v>
      </c>
      <c r="B54" s="11" t="s">
        <v>92</v>
      </c>
      <c r="C54" s="11" t="s">
        <v>106</v>
      </c>
      <c r="D54" s="19" t="s">
        <v>157</v>
      </c>
      <c r="E54" s="25">
        <v>253.84</v>
      </c>
      <c r="F54" s="19" t="s">
        <v>15</v>
      </c>
      <c r="G54" s="26">
        <v>46221</v>
      </c>
    </row>
    <row r="55" spans="1:7" ht="15" customHeight="1">
      <c r="A55" s="11">
        <v>52</v>
      </c>
      <c r="B55" s="11" t="s">
        <v>92</v>
      </c>
      <c r="C55" s="11" t="s">
        <v>106</v>
      </c>
      <c r="D55" s="19" t="s">
        <v>158</v>
      </c>
      <c r="E55" s="25">
        <v>190.38</v>
      </c>
      <c r="F55" s="19" t="s">
        <v>15</v>
      </c>
      <c r="G55" s="26">
        <v>46221</v>
      </c>
    </row>
    <row r="56" spans="1:7" ht="15" customHeight="1">
      <c r="A56" s="11">
        <v>53</v>
      </c>
      <c r="B56" s="11" t="s">
        <v>92</v>
      </c>
      <c r="C56" s="11" t="s">
        <v>106</v>
      </c>
      <c r="D56" s="19" t="s">
        <v>159</v>
      </c>
      <c r="E56" s="25">
        <v>190.38</v>
      </c>
      <c r="F56" s="19" t="s">
        <v>34</v>
      </c>
      <c r="G56" s="26">
        <v>46222</v>
      </c>
    </row>
    <row r="57" spans="1:7" ht="15" customHeight="1">
      <c r="A57" s="11">
        <v>54</v>
      </c>
      <c r="B57" s="11" t="s">
        <v>92</v>
      </c>
      <c r="C57" s="11" t="s">
        <v>106</v>
      </c>
      <c r="D57" s="19" t="s">
        <v>160</v>
      </c>
      <c r="E57" s="25">
        <v>253.84</v>
      </c>
      <c r="F57" s="19" t="s">
        <v>32</v>
      </c>
      <c r="G57" s="26">
        <v>46222</v>
      </c>
    </row>
    <row r="58" spans="1:7" ht="15" customHeight="1">
      <c r="A58" s="11">
        <v>55</v>
      </c>
      <c r="B58" s="11" t="s">
        <v>92</v>
      </c>
      <c r="C58" s="11" t="s">
        <v>106</v>
      </c>
      <c r="D58" s="19" t="s">
        <v>161</v>
      </c>
      <c r="E58" s="25">
        <v>190.38</v>
      </c>
      <c r="F58" s="19" t="s">
        <v>15</v>
      </c>
      <c r="G58" s="26">
        <v>46224</v>
      </c>
    </row>
    <row r="59" spans="1:7" ht="15" customHeight="1">
      <c r="A59" s="11">
        <v>56</v>
      </c>
      <c r="B59" s="11" t="s">
        <v>92</v>
      </c>
      <c r="C59" s="11" t="s">
        <v>106</v>
      </c>
      <c r="D59" s="19" t="s">
        <v>162</v>
      </c>
      <c r="E59" s="25">
        <v>263.72000000000003</v>
      </c>
      <c r="F59" s="19" t="s">
        <v>77</v>
      </c>
      <c r="G59" s="26">
        <v>46224</v>
      </c>
    </row>
    <row r="60" spans="1:7" ht="15" customHeight="1">
      <c r="A60" s="11">
        <v>57</v>
      </c>
      <c r="B60" s="11" t="s">
        <v>92</v>
      </c>
      <c r="C60" s="11" t="s">
        <v>106</v>
      </c>
      <c r="D60" s="19" t="s">
        <v>163</v>
      </c>
      <c r="E60" s="25">
        <v>263.72000000000003</v>
      </c>
      <c r="F60" s="19" t="s">
        <v>45</v>
      </c>
      <c r="G60" s="26">
        <v>46225</v>
      </c>
    </row>
    <row r="61" spans="1:7" ht="15" customHeight="1">
      <c r="A61" s="11">
        <v>58</v>
      </c>
      <c r="B61" s="11" t="s">
        <v>92</v>
      </c>
      <c r="C61" s="11" t="s">
        <v>106</v>
      </c>
      <c r="D61" s="19" t="s">
        <v>164</v>
      </c>
      <c r="E61" s="25">
        <v>253.84</v>
      </c>
      <c r="F61" s="19" t="s">
        <v>32</v>
      </c>
      <c r="G61" s="26">
        <v>46225</v>
      </c>
    </row>
    <row r="62" spans="1:7" ht="15" customHeight="1">
      <c r="A62" s="11">
        <v>59</v>
      </c>
      <c r="B62" s="11" t="s">
        <v>92</v>
      </c>
      <c r="C62" s="11" t="s">
        <v>106</v>
      </c>
      <c r="D62" s="19" t="s">
        <v>165</v>
      </c>
      <c r="E62" s="25">
        <v>253.84</v>
      </c>
      <c r="F62" s="19" t="s">
        <v>32</v>
      </c>
      <c r="G62" s="26">
        <v>46226</v>
      </c>
    </row>
    <row r="63" spans="1:7" ht="15" customHeight="1">
      <c r="A63" s="11">
        <v>60</v>
      </c>
      <c r="B63" s="11" t="s">
        <v>92</v>
      </c>
      <c r="C63" s="11" t="s">
        <v>106</v>
      </c>
      <c r="D63" s="19" t="s">
        <v>166</v>
      </c>
      <c r="E63" s="25">
        <v>263.72000000000003</v>
      </c>
      <c r="F63" s="19" t="s">
        <v>45</v>
      </c>
      <c r="G63" s="26">
        <v>46226</v>
      </c>
    </row>
    <row r="64" spans="1:7" ht="15" customHeight="1">
      <c r="A64" s="11">
        <v>61</v>
      </c>
      <c r="B64" s="11" t="s">
        <v>92</v>
      </c>
      <c r="C64" s="11" t="s">
        <v>106</v>
      </c>
      <c r="D64" s="19" t="s">
        <v>167</v>
      </c>
      <c r="E64" s="25">
        <v>253.84</v>
      </c>
      <c r="F64" s="19" t="s">
        <v>78</v>
      </c>
      <c r="G64" s="26">
        <v>46226</v>
      </c>
    </row>
    <row r="65" spans="1:7" ht="15" customHeight="1">
      <c r="A65" s="11">
        <v>62</v>
      </c>
      <c r="B65" s="11" t="s">
        <v>93</v>
      </c>
      <c r="C65" s="11" t="s">
        <v>106</v>
      </c>
      <c r="D65" s="19" t="s">
        <v>168</v>
      </c>
      <c r="E65" s="25">
        <v>253.84</v>
      </c>
      <c r="F65" s="19" t="s">
        <v>39</v>
      </c>
      <c r="G65" s="26">
        <v>46227</v>
      </c>
    </row>
    <row r="66" spans="1:7" ht="15" customHeight="1">
      <c r="A66" s="11">
        <v>63</v>
      </c>
      <c r="B66" s="11" t="s">
        <v>94</v>
      </c>
      <c r="C66" s="11" t="s">
        <v>106</v>
      </c>
      <c r="D66" s="19" t="s">
        <v>169</v>
      </c>
      <c r="E66" s="25">
        <v>190.38</v>
      </c>
      <c r="F66" s="19" t="s">
        <v>18</v>
      </c>
      <c r="G66" s="26">
        <v>46227</v>
      </c>
    </row>
    <row r="67" spans="1:7" ht="15" customHeight="1">
      <c r="A67" s="11">
        <v>64</v>
      </c>
      <c r="B67" s="11" t="s">
        <v>94</v>
      </c>
      <c r="C67" s="11" t="s">
        <v>106</v>
      </c>
      <c r="D67" s="19" t="s">
        <v>170</v>
      </c>
      <c r="E67" s="25">
        <v>190.38</v>
      </c>
      <c r="F67" s="19" t="s">
        <v>18</v>
      </c>
      <c r="G67" s="26">
        <v>46227</v>
      </c>
    </row>
    <row r="68" spans="1:7" ht="15" customHeight="1">
      <c r="A68" s="11">
        <v>65</v>
      </c>
      <c r="B68" s="11" t="s">
        <v>94</v>
      </c>
      <c r="C68" s="11" t="s">
        <v>106</v>
      </c>
      <c r="D68" s="19" t="s">
        <v>171</v>
      </c>
      <c r="E68" s="25">
        <v>190.38</v>
      </c>
      <c r="F68" s="19" t="s">
        <v>18</v>
      </c>
      <c r="G68" s="26">
        <v>46228</v>
      </c>
    </row>
    <row r="69" spans="1:7" ht="15" customHeight="1">
      <c r="A69" s="11">
        <v>66</v>
      </c>
      <c r="B69" s="11" t="s">
        <v>94</v>
      </c>
      <c r="C69" s="11" t="s">
        <v>106</v>
      </c>
      <c r="D69" s="19" t="s">
        <v>172</v>
      </c>
      <c r="E69" s="25">
        <v>190.38</v>
      </c>
      <c r="F69" s="19" t="s">
        <v>18</v>
      </c>
      <c r="G69" s="26">
        <v>46228</v>
      </c>
    </row>
    <row r="70" spans="1:7" ht="15" customHeight="1">
      <c r="A70" s="11">
        <v>67</v>
      </c>
      <c r="B70" s="11" t="s">
        <v>94</v>
      </c>
      <c r="C70" s="11" t="s">
        <v>106</v>
      </c>
      <c r="D70" s="19" t="s">
        <v>173</v>
      </c>
      <c r="E70" s="25">
        <v>190.38</v>
      </c>
      <c r="F70" s="19" t="s">
        <v>18</v>
      </c>
      <c r="G70" s="26">
        <v>46228</v>
      </c>
    </row>
    <row r="71" spans="1:7" ht="15" customHeight="1">
      <c r="A71" s="11">
        <v>68</v>
      </c>
      <c r="B71" s="11" t="s">
        <v>94</v>
      </c>
      <c r="C71" s="11" t="s">
        <v>106</v>
      </c>
      <c r="D71" s="19" t="s">
        <v>174</v>
      </c>
      <c r="E71" s="25">
        <v>190.38</v>
      </c>
      <c r="F71" s="19" t="s">
        <v>18</v>
      </c>
      <c r="G71" s="26">
        <v>46228</v>
      </c>
    </row>
    <row r="72" spans="1:7" ht="15" customHeight="1">
      <c r="A72" s="11">
        <v>69</v>
      </c>
      <c r="B72" s="11" t="s">
        <v>94</v>
      </c>
      <c r="C72" s="11" t="s">
        <v>106</v>
      </c>
      <c r="D72" s="19" t="s">
        <v>175</v>
      </c>
      <c r="E72" s="25">
        <v>190.38</v>
      </c>
      <c r="F72" s="19" t="s">
        <v>18</v>
      </c>
      <c r="G72" s="26">
        <v>46229</v>
      </c>
    </row>
    <row r="73" spans="1:7" ht="15" customHeight="1">
      <c r="A73" s="11">
        <v>70</v>
      </c>
      <c r="B73" s="11" t="s">
        <v>94</v>
      </c>
      <c r="C73" s="11" t="s">
        <v>106</v>
      </c>
      <c r="D73" s="19" t="s">
        <v>176</v>
      </c>
      <c r="E73" s="25">
        <v>190.38</v>
      </c>
      <c r="F73" s="19" t="s">
        <v>18</v>
      </c>
      <c r="G73" s="26">
        <v>46230</v>
      </c>
    </row>
    <row r="74" spans="1:7" ht="15" customHeight="1">
      <c r="A74" s="11">
        <v>71</v>
      </c>
      <c r="B74" s="11" t="s">
        <v>94</v>
      </c>
      <c r="C74" s="11" t="s">
        <v>106</v>
      </c>
      <c r="D74" s="19" t="s">
        <v>177</v>
      </c>
      <c r="E74" s="25">
        <v>190.38</v>
      </c>
      <c r="F74" s="19" t="s">
        <v>18</v>
      </c>
      <c r="G74" s="26">
        <v>46231</v>
      </c>
    </row>
    <row r="75" spans="1:7" ht="15" customHeight="1">
      <c r="A75" s="11">
        <v>72</v>
      </c>
      <c r="B75" s="11" t="s">
        <v>94</v>
      </c>
      <c r="C75" s="11" t="s">
        <v>106</v>
      </c>
      <c r="D75" s="19" t="s">
        <v>178</v>
      </c>
      <c r="E75" s="25">
        <v>190.38</v>
      </c>
      <c r="F75" s="19" t="s">
        <v>18</v>
      </c>
      <c r="G75" s="26">
        <v>46231</v>
      </c>
    </row>
    <row r="76" spans="1:7" ht="15" customHeight="1">
      <c r="A76" s="11">
        <v>73</v>
      </c>
      <c r="B76" s="11" t="s">
        <v>94</v>
      </c>
      <c r="C76" s="11" t="s">
        <v>106</v>
      </c>
      <c r="D76" s="19" t="s">
        <v>179</v>
      </c>
      <c r="E76" s="25">
        <v>190.38</v>
      </c>
      <c r="F76" s="19" t="s">
        <v>18</v>
      </c>
      <c r="G76" s="26">
        <v>46232</v>
      </c>
    </row>
    <row r="77" spans="1:7" ht="15" customHeight="1">
      <c r="A77" s="11">
        <v>74</v>
      </c>
      <c r="B77" s="11" t="s">
        <v>94</v>
      </c>
      <c r="C77" s="11" t="s">
        <v>106</v>
      </c>
      <c r="D77" s="19" t="s">
        <v>180</v>
      </c>
      <c r="E77" s="25">
        <v>190.38</v>
      </c>
      <c r="F77" s="19" t="s">
        <v>18</v>
      </c>
      <c r="G77" s="26">
        <v>46233</v>
      </c>
    </row>
    <row r="78" spans="1:7" ht="15" customHeight="1">
      <c r="A78" s="11">
        <v>75</v>
      </c>
      <c r="B78" s="11" t="s">
        <v>94</v>
      </c>
      <c r="C78" s="11" t="s">
        <v>106</v>
      </c>
      <c r="D78" s="19" t="s">
        <v>181</v>
      </c>
      <c r="E78" s="25">
        <v>190.38</v>
      </c>
      <c r="F78" s="19" t="s">
        <v>18</v>
      </c>
      <c r="G78" s="26">
        <v>46233</v>
      </c>
    </row>
    <row r="79" spans="1:7" ht="15" customHeight="1">
      <c r="A79" s="11">
        <v>76</v>
      </c>
      <c r="B79" s="11" t="s">
        <v>94</v>
      </c>
      <c r="C79" s="11" t="s">
        <v>106</v>
      </c>
      <c r="D79" s="19" t="s">
        <v>182</v>
      </c>
      <c r="E79" s="25">
        <v>190.38</v>
      </c>
      <c r="F79" s="19" t="s">
        <v>18</v>
      </c>
      <c r="G79" s="26">
        <v>46233</v>
      </c>
    </row>
    <row r="80" spans="1:7" ht="15" customHeight="1">
      <c r="A80" s="11">
        <v>77</v>
      </c>
      <c r="B80" s="11" t="s">
        <v>94</v>
      </c>
      <c r="C80" s="11" t="s">
        <v>106</v>
      </c>
      <c r="D80" s="19" t="s">
        <v>183</v>
      </c>
      <c r="E80" s="25">
        <v>253.84</v>
      </c>
      <c r="F80" s="19" t="s">
        <v>18</v>
      </c>
      <c r="G80" s="26">
        <v>46236</v>
      </c>
    </row>
    <row r="81" spans="1:7" ht="15" customHeight="1">
      <c r="A81" s="11">
        <v>78</v>
      </c>
      <c r="B81" s="11" t="s">
        <v>94</v>
      </c>
      <c r="C81" s="11" t="s">
        <v>106</v>
      </c>
      <c r="D81" s="19" t="s">
        <v>184</v>
      </c>
      <c r="E81" s="25">
        <v>190.38</v>
      </c>
      <c r="F81" s="19" t="s">
        <v>18</v>
      </c>
      <c r="G81" s="26">
        <v>46238</v>
      </c>
    </row>
    <row r="82" spans="1:7" ht="15" customHeight="1">
      <c r="A82" s="11">
        <v>79</v>
      </c>
      <c r="B82" s="11" t="s">
        <v>94</v>
      </c>
      <c r="C82" s="11" t="s">
        <v>106</v>
      </c>
      <c r="D82" s="19" t="s">
        <v>185</v>
      </c>
      <c r="E82" s="25">
        <v>190.38</v>
      </c>
      <c r="F82" s="19" t="s">
        <v>18</v>
      </c>
      <c r="G82" s="26">
        <v>46238</v>
      </c>
    </row>
    <row r="83" spans="1:7" ht="15" customHeight="1">
      <c r="A83" s="11">
        <v>80</v>
      </c>
      <c r="B83" s="11" t="s">
        <v>94</v>
      </c>
      <c r="C83" s="11" t="s">
        <v>106</v>
      </c>
      <c r="D83" s="19" t="s">
        <v>186</v>
      </c>
      <c r="E83" s="25">
        <v>190.38</v>
      </c>
      <c r="F83" s="19" t="s">
        <v>18</v>
      </c>
      <c r="G83" s="26">
        <v>46238</v>
      </c>
    </row>
    <row r="84" spans="1:7" ht="15" customHeight="1">
      <c r="A84" s="11">
        <v>81</v>
      </c>
      <c r="B84" s="11" t="s">
        <v>94</v>
      </c>
      <c r="C84" s="11" t="s">
        <v>106</v>
      </c>
      <c r="D84" s="19" t="s">
        <v>187</v>
      </c>
      <c r="E84" s="25">
        <v>380.76</v>
      </c>
      <c r="F84" s="19" t="s">
        <v>18</v>
      </c>
      <c r="G84" s="26">
        <v>46238</v>
      </c>
    </row>
    <row r="85" spans="1:7" ht="15" customHeight="1">
      <c r="A85" s="11">
        <v>82</v>
      </c>
      <c r="B85" s="11" t="s">
        <v>94</v>
      </c>
      <c r="C85" s="11" t="s">
        <v>106</v>
      </c>
      <c r="D85" s="19" t="s">
        <v>188</v>
      </c>
      <c r="E85" s="25">
        <v>380.76</v>
      </c>
      <c r="F85" s="19" t="s">
        <v>18</v>
      </c>
      <c r="G85" s="26">
        <v>46239</v>
      </c>
    </row>
    <row r="86" spans="1:7" ht="15" customHeight="1">
      <c r="A86" s="11">
        <v>83</v>
      </c>
      <c r="B86" s="11" t="s">
        <v>94</v>
      </c>
      <c r="C86" s="11" t="s">
        <v>106</v>
      </c>
      <c r="D86" s="19" t="s">
        <v>189</v>
      </c>
      <c r="E86" s="25">
        <v>253.84</v>
      </c>
      <c r="F86" s="19" t="s">
        <v>35</v>
      </c>
      <c r="G86" s="26">
        <v>46239</v>
      </c>
    </row>
    <row r="87" spans="1:7" ht="15" customHeight="1">
      <c r="A87" s="11">
        <v>84</v>
      </c>
      <c r="B87" s="11" t="s">
        <v>94</v>
      </c>
      <c r="C87" s="11" t="s">
        <v>106</v>
      </c>
      <c r="D87" s="19" t="s">
        <v>190</v>
      </c>
      <c r="E87" s="25">
        <v>126.92</v>
      </c>
      <c r="F87" s="19" t="s">
        <v>35</v>
      </c>
      <c r="G87" s="26">
        <v>46239</v>
      </c>
    </row>
    <row r="88" spans="1:7" ht="15" customHeight="1">
      <c r="A88" s="11">
        <v>85</v>
      </c>
      <c r="B88" s="11" t="s">
        <v>94</v>
      </c>
      <c r="C88" s="11" t="s">
        <v>106</v>
      </c>
      <c r="D88" s="19" t="s">
        <v>191</v>
      </c>
      <c r="E88" s="25">
        <v>190.38</v>
      </c>
      <c r="F88" s="19" t="s">
        <v>18</v>
      </c>
      <c r="G88" s="26">
        <v>46240</v>
      </c>
    </row>
    <row r="89" spans="1:7" ht="15" customHeight="1">
      <c r="A89" s="11">
        <v>86</v>
      </c>
      <c r="B89" s="11" t="s">
        <v>94</v>
      </c>
      <c r="C89" s="11" t="s">
        <v>106</v>
      </c>
      <c r="D89" s="19" t="s">
        <v>192</v>
      </c>
      <c r="E89" s="25">
        <v>95.19</v>
      </c>
      <c r="F89" s="19" t="s">
        <v>18</v>
      </c>
      <c r="G89" s="26">
        <v>46240</v>
      </c>
    </row>
    <row r="90" spans="1:7" ht="15" customHeight="1">
      <c r="A90" s="11">
        <v>87</v>
      </c>
      <c r="B90" s="11" t="s">
        <v>94</v>
      </c>
      <c r="C90" s="11" t="s">
        <v>106</v>
      </c>
      <c r="D90" s="19" t="s">
        <v>193</v>
      </c>
      <c r="E90" s="25">
        <v>190.38</v>
      </c>
      <c r="F90" s="19" t="s">
        <v>18</v>
      </c>
      <c r="G90" s="26">
        <v>46241</v>
      </c>
    </row>
    <row r="91" spans="1:7" ht="15" customHeight="1">
      <c r="A91" s="11">
        <v>88</v>
      </c>
      <c r="B91" s="11" t="s">
        <v>94</v>
      </c>
      <c r="C91" s="11" t="s">
        <v>106</v>
      </c>
      <c r="D91" s="19" t="s">
        <v>194</v>
      </c>
      <c r="E91" s="25">
        <v>507.68</v>
      </c>
      <c r="F91" s="19" t="s">
        <v>18</v>
      </c>
      <c r="G91" s="26">
        <v>46241</v>
      </c>
    </row>
    <row r="92" spans="1:7" ht="15" customHeight="1">
      <c r="A92" s="11">
        <v>89</v>
      </c>
      <c r="B92" s="11" t="s">
        <v>94</v>
      </c>
      <c r="C92" s="11" t="s">
        <v>106</v>
      </c>
      <c r="D92" s="19" t="s">
        <v>195</v>
      </c>
      <c r="E92" s="25">
        <v>190.38</v>
      </c>
      <c r="F92" s="19" t="s">
        <v>18</v>
      </c>
      <c r="G92" s="26">
        <v>46242</v>
      </c>
    </row>
    <row r="93" spans="1:7" ht="15" customHeight="1">
      <c r="A93" s="11">
        <v>90</v>
      </c>
      <c r="B93" s="11" t="s">
        <v>94</v>
      </c>
      <c r="C93" s="11" t="s">
        <v>106</v>
      </c>
      <c r="D93" s="19" t="s">
        <v>196</v>
      </c>
      <c r="E93" s="25">
        <v>190.38</v>
      </c>
      <c r="F93" s="19" t="s">
        <v>18</v>
      </c>
      <c r="G93" s="26">
        <v>46242</v>
      </c>
    </row>
    <row r="94" spans="1:7" ht="15" customHeight="1">
      <c r="A94" s="11">
        <v>91</v>
      </c>
      <c r="B94" s="11" t="s">
        <v>94</v>
      </c>
      <c r="C94" s="11" t="s">
        <v>106</v>
      </c>
      <c r="D94" s="19" t="s">
        <v>197</v>
      </c>
      <c r="E94" s="25">
        <v>95.19</v>
      </c>
      <c r="F94" s="19" t="s">
        <v>18</v>
      </c>
      <c r="G94" s="26">
        <v>46242</v>
      </c>
    </row>
    <row r="95" spans="1:7" ht="15" customHeight="1">
      <c r="A95" s="11">
        <v>92</v>
      </c>
      <c r="B95" s="11" t="s">
        <v>94</v>
      </c>
      <c r="C95" s="11" t="s">
        <v>106</v>
      </c>
      <c r="D95" s="19" t="s">
        <v>198</v>
      </c>
      <c r="E95" s="25">
        <v>190.38</v>
      </c>
      <c r="F95" s="19" t="s">
        <v>18</v>
      </c>
      <c r="G95" s="26">
        <v>46243</v>
      </c>
    </row>
    <row r="96" spans="1:7" ht="15" customHeight="1">
      <c r="A96" s="11">
        <v>93</v>
      </c>
      <c r="B96" s="11" t="s">
        <v>94</v>
      </c>
      <c r="C96" s="11" t="s">
        <v>106</v>
      </c>
      <c r="D96" s="19" t="s">
        <v>199</v>
      </c>
      <c r="E96" s="25">
        <v>190.38</v>
      </c>
      <c r="F96" s="19" t="s">
        <v>18</v>
      </c>
      <c r="G96" s="26">
        <v>46244</v>
      </c>
    </row>
    <row r="97" spans="1:7" ht="15" customHeight="1">
      <c r="A97" s="11">
        <v>94</v>
      </c>
      <c r="B97" s="11" t="s">
        <v>94</v>
      </c>
      <c r="C97" s="11" t="s">
        <v>106</v>
      </c>
      <c r="D97" s="19" t="s">
        <v>200</v>
      </c>
      <c r="E97" s="25">
        <v>190.38</v>
      </c>
      <c r="F97" s="19" t="s">
        <v>18</v>
      </c>
      <c r="G97" s="26">
        <v>46244</v>
      </c>
    </row>
    <row r="98" spans="1:7" ht="15" customHeight="1">
      <c r="A98" s="11">
        <v>95</v>
      </c>
      <c r="B98" s="11" t="s">
        <v>94</v>
      </c>
      <c r="C98" s="11" t="s">
        <v>106</v>
      </c>
      <c r="D98" s="19" t="s">
        <v>201</v>
      </c>
      <c r="E98" s="25">
        <v>95.19</v>
      </c>
      <c r="F98" s="19" t="s">
        <v>18</v>
      </c>
      <c r="G98" s="26">
        <v>46244</v>
      </c>
    </row>
    <row r="99" spans="1:7" ht="15" customHeight="1">
      <c r="A99" s="11">
        <v>96</v>
      </c>
      <c r="B99" s="11" t="s">
        <v>94</v>
      </c>
      <c r="C99" s="11" t="s">
        <v>106</v>
      </c>
      <c r="D99" s="19" t="s">
        <v>202</v>
      </c>
      <c r="E99" s="25">
        <v>190.38</v>
      </c>
      <c r="F99" s="19" t="s">
        <v>18</v>
      </c>
      <c r="G99" s="26">
        <v>46244</v>
      </c>
    </row>
    <row r="100" spans="1:7" ht="15" customHeight="1">
      <c r="A100" s="11">
        <v>97</v>
      </c>
      <c r="B100" s="11" t="s">
        <v>94</v>
      </c>
      <c r="C100" s="11" t="s">
        <v>106</v>
      </c>
      <c r="D100" s="19" t="s">
        <v>203</v>
      </c>
      <c r="E100" s="25">
        <v>190.38</v>
      </c>
      <c r="F100" s="19" t="s">
        <v>18</v>
      </c>
      <c r="G100" s="26">
        <v>46244</v>
      </c>
    </row>
    <row r="101" spans="1:7" ht="15" customHeight="1">
      <c r="A101" s="11">
        <v>98</v>
      </c>
      <c r="B101" s="11" t="s">
        <v>94</v>
      </c>
      <c r="C101" s="11" t="s">
        <v>106</v>
      </c>
      <c r="D101" s="19" t="s">
        <v>204</v>
      </c>
      <c r="E101" s="25">
        <v>190.38</v>
      </c>
      <c r="F101" s="19" t="s">
        <v>18</v>
      </c>
      <c r="G101" s="26">
        <v>46245</v>
      </c>
    </row>
    <row r="102" spans="1:7" ht="15" customHeight="1">
      <c r="A102" s="11">
        <v>99</v>
      </c>
      <c r="B102" s="11" t="s">
        <v>94</v>
      </c>
      <c r="C102" s="11" t="s">
        <v>106</v>
      </c>
      <c r="D102" s="19" t="s">
        <v>205</v>
      </c>
      <c r="E102" s="25">
        <v>190.38</v>
      </c>
      <c r="F102" s="19" t="s">
        <v>18</v>
      </c>
      <c r="G102" s="26">
        <v>46245</v>
      </c>
    </row>
    <row r="103" spans="1:7" ht="15" customHeight="1">
      <c r="A103" s="11">
        <v>100</v>
      </c>
      <c r="B103" s="11" t="s">
        <v>94</v>
      </c>
      <c r="C103" s="11" t="s">
        <v>106</v>
      </c>
      <c r="D103" s="19" t="s">
        <v>206</v>
      </c>
      <c r="E103" s="25">
        <v>190.38</v>
      </c>
      <c r="F103" s="19" t="s">
        <v>18</v>
      </c>
      <c r="G103" s="26">
        <v>46246</v>
      </c>
    </row>
    <row r="104" spans="1:7" ht="15" customHeight="1">
      <c r="A104" s="11">
        <v>101</v>
      </c>
      <c r="B104" s="11" t="s">
        <v>94</v>
      </c>
      <c r="C104" s="11" t="s">
        <v>106</v>
      </c>
      <c r="D104" s="19" t="s">
        <v>207</v>
      </c>
      <c r="E104" s="25">
        <v>190.38</v>
      </c>
      <c r="F104" s="19" t="s">
        <v>18</v>
      </c>
      <c r="G104" s="26">
        <v>46246</v>
      </c>
    </row>
    <row r="105" spans="1:7" ht="15" customHeight="1">
      <c r="A105" s="11">
        <v>102</v>
      </c>
      <c r="B105" s="11" t="s">
        <v>94</v>
      </c>
      <c r="C105" s="11" t="s">
        <v>106</v>
      </c>
      <c r="D105" s="19" t="s">
        <v>208</v>
      </c>
      <c r="E105" s="25">
        <v>190.38</v>
      </c>
      <c r="F105" s="19" t="s">
        <v>18</v>
      </c>
      <c r="G105" s="26">
        <v>46247</v>
      </c>
    </row>
    <row r="106" spans="1:7" ht="15" customHeight="1">
      <c r="A106" s="11">
        <v>103</v>
      </c>
      <c r="B106" s="11" t="s">
        <v>94</v>
      </c>
      <c r="C106" s="11" t="s">
        <v>106</v>
      </c>
      <c r="D106" s="19" t="s">
        <v>209</v>
      </c>
      <c r="E106" s="25">
        <v>190.38</v>
      </c>
      <c r="F106" s="19" t="s">
        <v>18</v>
      </c>
      <c r="G106" s="26">
        <v>46247</v>
      </c>
    </row>
    <row r="107" spans="1:7" ht="15" customHeight="1">
      <c r="A107" s="11">
        <v>104</v>
      </c>
      <c r="B107" s="11" t="s">
        <v>94</v>
      </c>
      <c r="C107" s="11" t="s">
        <v>106</v>
      </c>
      <c r="D107" s="19" t="s">
        <v>210</v>
      </c>
      <c r="E107" s="25">
        <v>190.38</v>
      </c>
      <c r="F107" s="19" t="s">
        <v>18</v>
      </c>
      <c r="G107" s="26">
        <v>46247</v>
      </c>
    </row>
    <row r="108" spans="1:7" ht="15" customHeight="1">
      <c r="A108" s="11">
        <v>105</v>
      </c>
      <c r="B108" s="11" t="s">
        <v>94</v>
      </c>
      <c r="C108" s="11" t="s">
        <v>106</v>
      </c>
      <c r="D108" s="19" t="s">
        <v>211</v>
      </c>
      <c r="E108" s="25">
        <v>253.84</v>
      </c>
      <c r="F108" s="19" t="s">
        <v>18</v>
      </c>
      <c r="G108" s="26">
        <v>46248</v>
      </c>
    </row>
    <row r="109" spans="1:7" ht="15" customHeight="1">
      <c r="A109" s="11">
        <v>106</v>
      </c>
      <c r="B109" s="11" t="s">
        <v>94</v>
      </c>
      <c r="C109" s="11" t="s">
        <v>106</v>
      </c>
      <c r="D109" s="19" t="s">
        <v>212</v>
      </c>
      <c r="E109" s="25">
        <v>190.38</v>
      </c>
      <c r="F109" s="19" t="s">
        <v>18</v>
      </c>
      <c r="G109" s="26">
        <v>46248</v>
      </c>
    </row>
    <row r="110" spans="1:7" ht="15" customHeight="1">
      <c r="A110" s="11">
        <v>107</v>
      </c>
      <c r="B110" s="11" t="s">
        <v>94</v>
      </c>
      <c r="C110" s="11" t="s">
        <v>106</v>
      </c>
      <c r="D110" s="19" t="s">
        <v>213</v>
      </c>
      <c r="E110" s="25">
        <v>190.38</v>
      </c>
      <c r="F110" s="19" t="s">
        <v>18</v>
      </c>
      <c r="G110" s="26">
        <v>46248</v>
      </c>
    </row>
    <row r="111" spans="1:7" ht="15" customHeight="1">
      <c r="A111" s="11">
        <v>108</v>
      </c>
      <c r="B111" s="11" t="s">
        <v>94</v>
      </c>
      <c r="C111" s="11" t="s">
        <v>106</v>
      </c>
      <c r="D111" s="19" t="s">
        <v>125</v>
      </c>
      <c r="E111" s="25">
        <v>253.84</v>
      </c>
      <c r="F111" s="19" t="s">
        <v>16</v>
      </c>
      <c r="G111" s="26">
        <v>46248</v>
      </c>
    </row>
    <row r="112" spans="1:7" ht="15" customHeight="1">
      <c r="A112" s="11">
        <v>109</v>
      </c>
      <c r="B112" s="11" t="s">
        <v>94</v>
      </c>
      <c r="C112" s="11" t="s">
        <v>106</v>
      </c>
      <c r="D112" s="19" t="s">
        <v>214</v>
      </c>
      <c r="E112" s="25">
        <v>253.84</v>
      </c>
      <c r="F112" s="19" t="s">
        <v>35</v>
      </c>
      <c r="G112" s="26">
        <v>46249</v>
      </c>
    </row>
    <row r="113" spans="1:7" ht="15" customHeight="1">
      <c r="A113" s="11">
        <v>110</v>
      </c>
      <c r="B113" s="11" t="s">
        <v>94</v>
      </c>
      <c r="C113" s="11" t="s">
        <v>106</v>
      </c>
      <c r="D113" s="19" t="s">
        <v>215</v>
      </c>
      <c r="E113" s="25">
        <v>190.38</v>
      </c>
      <c r="F113" s="19" t="s">
        <v>18</v>
      </c>
      <c r="G113" s="26">
        <v>46249</v>
      </c>
    </row>
    <row r="114" spans="1:7" ht="15" customHeight="1">
      <c r="A114" s="11">
        <v>111</v>
      </c>
      <c r="B114" s="11" t="s">
        <v>94</v>
      </c>
      <c r="C114" s="11" t="s">
        <v>106</v>
      </c>
      <c r="D114" s="19" t="s">
        <v>216</v>
      </c>
      <c r="E114" s="25">
        <v>190.38</v>
      </c>
      <c r="F114" s="19" t="s">
        <v>18</v>
      </c>
      <c r="G114" s="26">
        <v>46250</v>
      </c>
    </row>
    <row r="115" spans="1:7" ht="15" customHeight="1">
      <c r="A115" s="11">
        <v>112</v>
      </c>
      <c r="B115" s="11" t="s">
        <v>94</v>
      </c>
      <c r="C115" s="11" t="s">
        <v>106</v>
      </c>
      <c r="D115" s="19" t="s">
        <v>217</v>
      </c>
      <c r="E115" s="25">
        <v>190.38</v>
      </c>
      <c r="F115" s="19" t="s">
        <v>18</v>
      </c>
      <c r="G115" s="26">
        <v>46250</v>
      </c>
    </row>
    <row r="116" spans="1:7" ht="15" customHeight="1">
      <c r="A116" s="11">
        <v>113</v>
      </c>
      <c r="B116" s="11" t="s">
        <v>94</v>
      </c>
      <c r="C116" s="11" t="s">
        <v>106</v>
      </c>
      <c r="D116" s="19" t="s">
        <v>203</v>
      </c>
      <c r="E116" s="25">
        <v>190.38</v>
      </c>
      <c r="F116" s="19" t="s">
        <v>18</v>
      </c>
      <c r="G116" s="26">
        <v>46251</v>
      </c>
    </row>
    <row r="117" spans="1:7" ht="15" customHeight="1">
      <c r="A117" s="11">
        <v>114</v>
      </c>
      <c r="B117" s="11" t="s">
        <v>94</v>
      </c>
      <c r="C117" s="11" t="s">
        <v>106</v>
      </c>
      <c r="D117" s="19" t="s">
        <v>218</v>
      </c>
      <c r="E117" s="25">
        <v>190.38</v>
      </c>
      <c r="F117" s="19" t="s">
        <v>18</v>
      </c>
      <c r="G117" s="26">
        <v>46251</v>
      </c>
    </row>
    <row r="118" spans="1:7" ht="15" customHeight="1">
      <c r="A118" s="11">
        <v>115</v>
      </c>
      <c r="B118" s="11" t="s">
        <v>94</v>
      </c>
      <c r="C118" s="11" t="s">
        <v>106</v>
      </c>
      <c r="D118" s="19" t="s">
        <v>219</v>
      </c>
      <c r="E118" s="25">
        <v>190.38</v>
      </c>
      <c r="F118" s="19" t="s">
        <v>18</v>
      </c>
      <c r="G118" s="26">
        <v>46251</v>
      </c>
    </row>
    <row r="119" spans="1:7" ht="15" customHeight="1">
      <c r="A119" s="11">
        <v>116</v>
      </c>
      <c r="B119" s="11" t="s">
        <v>94</v>
      </c>
      <c r="C119" s="11" t="s">
        <v>106</v>
      </c>
      <c r="D119" s="19" t="s">
        <v>220</v>
      </c>
      <c r="E119" s="25">
        <v>190.38</v>
      </c>
      <c r="F119" s="19" t="s">
        <v>18</v>
      </c>
      <c r="G119" s="26">
        <v>46252</v>
      </c>
    </row>
    <row r="120" spans="1:7" ht="15" customHeight="1">
      <c r="A120" s="11">
        <v>117</v>
      </c>
      <c r="B120" s="11" t="s">
        <v>94</v>
      </c>
      <c r="C120" s="11" t="s">
        <v>106</v>
      </c>
      <c r="D120" s="19" t="s">
        <v>221</v>
      </c>
      <c r="E120" s="25">
        <v>190.38</v>
      </c>
      <c r="F120" s="19" t="s">
        <v>18</v>
      </c>
      <c r="G120" s="26">
        <v>46252</v>
      </c>
    </row>
    <row r="121" spans="1:7" ht="15" customHeight="1">
      <c r="A121" s="11">
        <v>118</v>
      </c>
      <c r="B121" s="11" t="s">
        <v>94</v>
      </c>
      <c r="C121" s="11" t="s">
        <v>106</v>
      </c>
      <c r="D121" s="19" t="s">
        <v>222</v>
      </c>
      <c r="E121" s="25">
        <v>190.38</v>
      </c>
      <c r="F121" s="19" t="s">
        <v>18</v>
      </c>
      <c r="G121" s="26">
        <v>46253</v>
      </c>
    </row>
    <row r="122" spans="1:7" ht="15" customHeight="1">
      <c r="A122" s="11">
        <v>119</v>
      </c>
      <c r="B122" s="11" t="s">
        <v>94</v>
      </c>
      <c r="C122" s="11" t="s">
        <v>106</v>
      </c>
      <c r="D122" s="19" t="s">
        <v>223</v>
      </c>
      <c r="E122" s="25">
        <v>190.38</v>
      </c>
      <c r="F122" s="19" t="s">
        <v>18</v>
      </c>
      <c r="G122" s="26">
        <v>46253</v>
      </c>
    </row>
    <row r="123" spans="1:7" ht="15" customHeight="1">
      <c r="A123" s="11">
        <v>120</v>
      </c>
      <c r="B123" s="11" t="s">
        <v>94</v>
      </c>
      <c r="C123" s="11" t="s">
        <v>106</v>
      </c>
      <c r="D123" s="19" t="s">
        <v>224</v>
      </c>
      <c r="E123" s="25">
        <v>190.38</v>
      </c>
      <c r="F123" s="19" t="s">
        <v>18</v>
      </c>
      <c r="G123" s="26">
        <v>46253</v>
      </c>
    </row>
    <row r="124" spans="1:7" ht="15" customHeight="1">
      <c r="A124" s="11">
        <v>121</v>
      </c>
      <c r="B124" s="11" t="s">
        <v>94</v>
      </c>
      <c r="C124" s="11" t="s">
        <v>106</v>
      </c>
      <c r="D124" s="19" t="s">
        <v>225</v>
      </c>
      <c r="E124" s="25">
        <v>190.38</v>
      </c>
      <c r="F124" s="19" t="s">
        <v>18</v>
      </c>
      <c r="G124" s="26">
        <v>46255</v>
      </c>
    </row>
    <row r="125" spans="1:7" ht="15" customHeight="1">
      <c r="A125" s="11">
        <v>122</v>
      </c>
      <c r="B125" s="11" t="s">
        <v>94</v>
      </c>
      <c r="C125" s="11" t="s">
        <v>106</v>
      </c>
      <c r="D125" s="19" t="s">
        <v>226</v>
      </c>
      <c r="E125" s="25">
        <v>190.38</v>
      </c>
      <c r="F125" s="19" t="s">
        <v>18</v>
      </c>
      <c r="G125" s="26">
        <v>46255</v>
      </c>
    </row>
    <row r="126" spans="1:7" ht="15" customHeight="1">
      <c r="A126" s="11">
        <v>123</v>
      </c>
      <c r="B126" s="11" t="s">
        <v>94</v>
      </c>
      <c r="C126" s="11" t="s">
        <v>106</v>
      </c>
      <c r="D126" s="19" t="s">
        <v>227</v>
      </c>
      <c r="E126" s="25">
        <v>190.38</v>
      </c>
      <c r="F126" s="19" t="s">
        <v>18</v>
      </c>
      <c r="G126" s="26">
        <v>46255</v>
      </c>
    </row>
    <row r="127" spans="1:7" ht="15" customHeight="1">
      <c r="A127" s="11">
        <v>124</v>
      </c>
      <c r="B127" s="11" t="s">
        <v>94</v>
      </c>
      <c r="C127" s="11" t="s">
        <v>106</v>
      </c>
      <c r="D127" s="19" t="s">
        <v>228</v>
      </c>
      <c r="E127" s="25">
        <v>190.38</v>
      </c>
      <c r="F127" s="19" t="s">
        <v>18</v>
      </c>
      <c r="G127" s="26">
        <v>46255</v>
      </c>
    </row>
    <row r="128" spans="1:7" ht="15" customHeight="1">
      <c r="A128" s="11">
        <v>125</v>
      </c>
      <c r="B128" s="11" t="s">
        <v>94</v>
      </c>
      <c r="C128" s="11" t="s">
        <v>106</v>
      </c>
      <c r="D128" s="19" t="s">
        <v>229</v>
      </c>
      <c r="E128" s="25">
        <v>190.38</v>
      </c>
      <c r="F128" s="19" t="s">
        <v>18</v>
      </c>
      <c r="G128" s="26">
        <v>46256</v>
      </c>
    </row>
    <row r="129" spans="1:7" ht="15" customHeight="1">
      <c r="A129" s="11">
        <v>126</v>
      </c>
      <c r="B129" s="11" t="s">
        <v>94</v>
      </c>
      <c r="C129" s="11" t="s">
        <v>106</v>
      </c>
      <c r="D129" s="19" t="s">
        <v>230</v>
      </c>
      <c r="E129" s="25">
        <v>253.84</v>
      </c>
      <c r="F129" s="19" t="s">
        <v>18</v>
      </c>
      <c r="G129" s="26">
        <v>46257</v>
      </c>
    </row>
    <row r="130" spans="1:7" ht="15" customHeight="1">
      <c r="A130" s="11">
        <v>127</v>
      </c>
      <c r="B130" s="11" t="s">
        <v>94</v>
      </c>
      <c r="C130" s="11" t="s">
        <v>106</v>
      </c>
      <c r="D130" s="19" t="s">
        <v>231</v>
      </c>
      <c r="E130" s="25">
        <v>190.38</v>
      </c>
      <c r="F130" s="19" t="s">
        <v>18</v>
      </c>
      <c r="G130" s="26">
        <v>46257</v>
      </c>
    </row>
    <row r="131" spans="1:7" ht="15" customHeight="1">
      <c r="A131" s="11">
        <v>128</v>
      </c>
      <c r="B131" s="11" t="s">
        <v>94</v>
      </c>
      <c r="C131" s="11" t="s">
        <v>106</v>
      </c>
      <c r="D131" s="19" t="s">
        <v>232</v>
      </c>
      <c r="E131" s="25">
        <v>190.38</v>
      </c>
      <c r="F131" s="19" t="s">
        <v>18</v>
      </c>
      <c r="G131" s="26">
        <v>46257</v>
      </c>
    </row>
    <row r="132" spans="1:7" ht="15" customHeight="1">
      <c r="A132" s="11">
        <v>129</v>
      </c>
      <c r="B132" s="11" t="s">
        <v>94</v>
      </c>
      <c r="C132" s="11" t="s">
        <v>106</v>
      </c>
      <c r="D132" s="19" t="s">
        <v>233</v>
      </c>
      <c r="E132" s="25">
        <v>190.38</v>
      </c>
      <c r="F132" s="19" t="s">
        <v>18</v>
      </c>
      <c r="G132" s="26">
        <v>46258</v>
      </c>
    </row>
    <row r="133" spans="1:7" ht="15" customHeight="1">
      <c r="A133" s="11">
        <v>130</v>
      </c>
      <c r="B133" s="11" t="s">
        <v>94</v>
      </c>
      <c r="C133" s="11" t="s">
        <v>106</v>
      </c>
      <c r="D133" s="19" t="s">
        <v>234</v>
      </c>
      <c r="E133" s="25">
        <v>190.38</v>
      </c>
      <c r="F133" s="19" t="s">
        <v>18</v>
      </c>
      <c r="G133" s="26">
        <v>46258</v>
      </c>
    </row>
    <row r="134" spans="1:7" ht="15" customHeight="1">
      <c r="A134" s="11">
        <v>131</v>
      </c>
      <c r="B134" s="11" t="s">
        <v>94</v>
      </c>
      <c r="C134" s="11" t="s">
        <v>106</v>
      </c>
      <c r="D134" s="19" t="s">
        <v>235</v>
      </c>
      <c r="E134" s="25">
        <v>190.38</v>
      </c>
      <c r="F134" s="19" t="s">
        <v>18</v>
      </c>
      <c r="G134" s="26">
        <v>46259</v>
      </c>
    </row>
    <row r="135" spans="1:7" ht="15" customHeight="1">
      <c r="A135" s="11">
        <v>132</v>
      </c>
      <c r="B135" s="11" t="s">
        <v>94</v>
      </c>
      <c r="C135" s="11" t="s">
        <v>106</v>
      </c>
      <c r="D135" s="19" t="s">
        <v>236</v>
      </c>
      <c r="E135" s="25">
        <v>190.38</v>
      </c>
      <c r="F135" s="19" t="s">
        <v>18</v>
      </c>
      <c r="G135" s="26">
        <v>46259</v>
      </c>
    </row>
    <row r="136" spans="1:7" ht="15" customHeight="1">
      <c r="A136" s="11">
        <v>133</v>
      </c>
      <c r="B136" s="11" t="s">
        <v>94</v>
      </c>
      <c r="C136" s="11" t="s">
        <v>106</v>
      </c>
      <c r="D136" s="19" t="s">
        <v>237</v>
      </c>
      <c r="E136" s="25">
        <v>190.38</v>
      </c>
      <c r="F136" s="19" t="s">
        <v>18</v>
      </c>
      <c r="G136" s="26">
        <v>46259</v>
      </c>
    </row>
    <row r="137" spans="1:7" ht="15" customHeight="1">
      <c r="A137" s="11">
        <v>134</v>
      </c>
      <c r="B137" s="11" t="s">
        <v>94</v>
      </c>
      <c r="C137" s="11" t="s">
        <v>106</v>
      </c>
      <c r="D137" s="19" t="s">
        <v>238</v>
      </c>
      <c r="E137" s="25">
        <v>190.38</v>
      </c>
      <c r="F137" s="19" t="s">
        <v>18</v>
      </c>
      <c r="G137" s="26">
        <v>46260</v>
      </c>
    </row>
    <row r="138" spans="1:7" ht="15" customHeight="1">
      <c r="A138" s="11">
        <v>135</v>
      </c>
      <c r="B138" s="11" t="s">
        <v>94</v>
      </c>
      <c r="C138" s="11" t="s">
        <v>106</v>
      </c>
      <c r="D138" s="19" t="s">
        <v>239</v>
      </c>
      <c r="E138" s="25">
        <v>190.38</v>
      </c>
      <c r="F138" s="19" t="s">
        <v>18</v>
      </c>
      <c r="G138" s="26">
        <v>46261</v>
      </c>
    </row>
    <row r="139" spans="1:7" ht="15" customHeight="1">
      <c r="A139" s="11">
        <v>136</v>
      </c>
      <c r="B139" s="11" t="s">
        <v>94</v>
      </c>
      <c r="C139" s="11" t="s">
        <v>106</v>
      </c>
      <c r="D139" s="19" t="s">
        <v>240</v>
      </c>
      <c r="E139" s="25">
        <v>95.19</v>
      </c>
      <c r="F139" s="19" t="s">
        <v>18</v>
      </c>
      <c r="G139" s="26">
        <v>46262</v>
      </c>
    </row>
    <row r="140" spans="1:7" ht="15" customHeight="1">
      <c r="A140" s="11">
        <v>137</v>
      </c>
      <c r="B140" s="11" t="s">
        <v>94</v>
      </c>
      <c r="C140" s="11" t="s">
        <v>106</v>
      </c>
      <c r="D140" s="19" t="s">
        <v>241</v>
      </c>
      <c r="E140" s="25">
        <v>126.92</v>
      </c>
      <c r="F140" s="19" t="s">
        <v>18</v>
      </c>
      <c r="G140" s="26">
        <v>46263</v>
      </c>
    </row>
    <row r="141" spans="1:7" ht="15" customHeight="1">
      <c r="A141" s="11">
        <v>138</v>
      </c>
      <c r="B141" s="11" t="s">
        <v>94</v>
      </c>
      <c r="C141" s="11" t="s">
        <v>106</v>
      </c>
      <c r="D141" s="19" t="s">
        <v>242</v>
      </c>
      <c r="E141" s="25">
        <v>190.38</v>
      </c>
      <c r="F141" s="19" t="s">
        <v>18</v>
      </c>
      <c r="G141" s="26">
        <v>46263</v>
      </c>
    </row>
    <row r="142" spans="1:7" ht="15" customHeight="1">
      <c r="A142" s="11">
        <v>139</v>
      </c>
      <c r="B142" s="11" t="s">
        <v>94</v>
      </c>
      <c r="C142" s="11" t="s">
        <v>106</v>
      </c>
      <c r="D142" s="19" t="s">
        <v>243</v>
      </c>
      <c r="E142" s="25">
        <v>95.19</v>
      </c>
      <c r="F142" s="19" t="s">
        <v>18</v>
      </c>
      <c r="G142" s="26">
        <v>46263</v>
      </c>
    </row>
    <row r="143" spans="1:7" ht="15" customHeight="1">
      <c r="A143" s="11">
        <v>140</v>
      </c>
      <c r="B143" s="11" t="s">
        <v>94</v>
      </c>
      <c r="C143" s="11" t="s">
        <v>106</v>
      </c>
      <c r="D143" s="19" t="s">
        <v>244</v>
      </c>
      <c r="E143" s="25">
        <v>190.38</v>
      </c>
      <c r="F143" s="19" t="s">
        <v>18</v>
      </c>
      <c r="G143" s="26">
        <v>46264</v>
      </c>
    </row>
    <row r="144" spans="1:7" ht="15" customHeight="1">
      <c r="A144" s="11">
        <v>141</v>
      </c>
      <c r="B144" s="11" t="s">
        <v>94</v>
      </c>
      <c r="C144" s="11" t="s">
        <v>106</v>
      </c>
      <c r="D144" s="19" t="s">
        <v>245</v>
      </c>
      <c r="E144" s="25">
        <v>190.38</v>
      </c>
      <c r="F144" s="19" t="s">
        <v>18</v>
      </c>
      <c r="G144" s="26">
        <v>46265</v>
      </c>
    </row>
  </sheetData>
  <mergeCells count="2">
    <mergeCell ref="A1:F1"/>
    <mergeCell ref="A2:F2"/>
  </mergeCells>
  <dataValidations count="2">
    <dataValidation type="list" allowBlank="1" error="Please choose a state from the list." sqref="B4:B1140" xr:uid="{00000000-0002-0000-0200-000000000000}">
      <formula1>"NSW,ACT,VIC,QLD,South Australia,Tasmania,Western Australia"</formula1>
      <formula2>0</formula2>
    </dataValidation>
    <dataValidation type="list" allowBlank="1" error="Please choose a category from the list." sqref="C4:C1140" xr:uid="{00000000-0002-0000-0200-000001000000}">
      <formula1>"New Service &amp; Resume Requests,Placed &amp; Scheduled Orders,Jobs Added Back to Permanent Dash,Jobs Added Back Now Placed,Orders Taken or Given Back,Churn,Service On Hold"</formula1>
      <formula2>0</formula2>
    </dataValidation>
  </dataValidations>
  <pageMargins left="0.75" right="0.75" top="1" bottom="1" header="0.511811023622047" footer="0.511811023622047"/>
  <pageSetup paperSize="9"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zoomScaleNormal="100" workbookViewId="0">
      <selection activeCell="M21" sqref="M21"/>
    </sheetView>
  </sheetViews>
  <sheetFormatPr defaultColWidth="8.7109375" defaultRowHeight="15"/>
  <cols>
    <col min="1" max="1" width="3.140625" customWidth="1"/>
    <col min="2" max="2" width="13.85546875" customWidth="1"/>
    <col min="3" max="3" width="24.42578125" customWidth="1"/>
    <col min="4" max="4" width="28" customWidth="1"/>
    <col min="5" max="5" width="7.5703125" customWidth="1"/>
    <col min="6" max="6" width="15" customWidth="1"/>
    <col min="7" max="7" width="10.7109375" customWidth="1"/>
  </cols>
  <sheetData>
    <row r="1" spans="1:7" ht="15" customHeight="1">
      <c r="A1" s="23" t="s">
        <v>101</v>
      </c>
      <c r="B1" s="23" t="s">
        <v>88</v>
      </c>
      <c r="C1" s="23" t="s">
        <v>102</v>
      </c>
      <c r="D1" s="23" t="s">
        <v>103</v>
      </c>
      <c r="E1" s="23" t="s">
        <v>13</v>
      </c>
      <c r="F1" s="23" t="s">
        <v>104</v>
      </c>
      <c r="G1" s="24" t="s">
        <v>105</v>
      </c>
    </row>
    <row r="2" spans="1:7" ht="15" customHeight="1">
      <c r="A2" s="11">
        <v>1</v>
      </c>
      <c r="B2" s="11" t="s">
        <v>90</v>
      </c>
      <c r="C2" s="11" t="s">
        <v>246</v>
      </c>
      <c r="D2" s="19" t="s">
        <v>247</v>
      </c>
      <c r="E2" s="25">
        <v>253.84</v>
      </c>
      <c r="F2" s="19" t="s">
        <v>16</v>
      </c>
      <c r="G2" s="26">
        <v>46206</v>
      </c>
    </row>
    <row r="3" spans="1:7" ht="15" customHeight="1">
      <c r="A3" s="11">
        <v>2</v>
      </c>
      <c r="B3" s="11" t="s">
        <v>92</v>
      </c>
      <c r="C3" s="11" t="s">
        <v>246</v>
      </c>
      <c r="D3" s="19" t="s">
        <v>248</v>
      </c>
      <c r="E3" s="25">
        <v>190.38</v>
      </c>
      <c r="F3" s="19" t="s">
        <v>31</v>
      </c>
      <c r="G3" s="26">
        <v>46211</v>
      </c>
    </row>
    <row r="4" spans="1:7" ht="15" customHeight="1">
      <c r="A4" s="11">
        <v>3</v>
      </c>
      <c r="B4" s="11" t="s">
        <v>93</v>
      </c>
      <c r="C4" s="11" t="s">
        <v>246</v>
      </c>
      <c r="D4" s="19" t="s">
        <v>249</v>
      </c>
      <c r="E4" s="25">
        <v>253.84</v>
      </c>
      <c r="F4" s="19" t="s">
        <v>45</v>
      </c>
      <c r="G4" s="26">
        <v>46217</v>
      </c>
    </row>
    <row r="5" spans="1:7" ht="15" customHeight="1">
      <c r="A5" s="11">
        <v>4</v>
      </c>
      <c r="B5" s="11" t="s">
        <v>94</v>
      </c>
      <c r="C5" s="11" t="s">
        <v>246</v>
      </c>
      <c r="D5" s="19" t="s">
        <v>250</v>
      </c>
      <c r="E5" s="25">
        <v>190.38</v>
      </c>
      <c r="F5" s="19" t="s">
        <v>18</v>
      </c>
      <c r="G5" s="26">
        <v>46222</v>
      </c>
    </row>
    <row r="6" spans="1:7" ht="15" customHeight="1">
      <c r="A6" s="11">
        <v>5</v>
      </c>
      <c r="B6" s="11" t="s">
        <v>91</v>
      </c>
      <c r="C6" s="11" t="s">
        <v>246</v>
      </c>
      <c r="D6" s="19" t="s">
        <v>251</v>
      </c>
      <c r="E6" s="25">
        <v>126.92</v>
      </c>
      <c r="F6" s="19" t="s">
        <v>20</v>
      </c>
      <c r="G6" s="26">
        <v>46228</v>
      </c>
    </row>
    <row r="7" spans="1:7" ht="15" customHeight="1">
      <c r="A7" s="11">
        <v>6</v>
      </c>
      <c r="B7" s="11" t="s">
        <v>90</v>
      </c>
      <c r="C7" s="11" t="s">
        <v>246</v>
      </c>
      <c r="D7" s="19" t="s">
        <v>252</v>
      </c>
      <c r="E7" s="25">
        <v>380.76</v>
      </c>
      <c r="F7" s="19" t="s">
        <v>39</v>
      </c>
      <c r="G7" s="26">
        <v>46236</v>
      </c>
    </row>
    <row r="8" spans="1:7" ht="15" customHeight="1">
      <c r="A8" s="11">
        <v>7</v>
      </c>
      <c r="B8" s="11" t="s">
        <v>92</v>
      </c>
      <c r="C8" s="11" t="s">
        <v>246</v>
      </c>
      <c r="D8" s="19" t="s">
        <v>253</v>
      </c>
      <c r="E8" s="25">
        <v>253.84</v>
      </c>
      <c r="F8" s="19" t="s">
        <v>77</v>
      </c>
      <c r="G8" s="26">
        <v>46243</v>
      </c>
    </row>
    <row r="9" spans="1:7" ht="15" customHeight="1">
      <c r="A9" s="11">
        <v>8</v>
      </c>
      <c r="B9" s="11" t="s">
        <v>93</v>
      </c>
      <c r="C9" s="11" t="s">
        <v>246</v>
      </c>
      <c r="D9" s="19" t="s">
        <v>254</v>
      </c>
      <c r="E9" s="25">
        <v>190.38</v>
      </c>
      <c r="F9" s="19" t="s">
        <v>76</v>
      </c>
      <c r="G9" s="26">
        <v>46249</v>
      </c>
    </row>
    <row r="10" spans="1:7" ht="15" customHeight="1">
      <c r="A10" s="11">
        <v>9</v>
      </c>
      <c r="B10" s="11" t="s">
        <v>90</v>
      </c>
      <c r="C10" s="11" t="s">
        <v>246</v>
      </c>
      <c r="D10" s="19" t="s">
        <v>255</v>
      </c>
      <c r="E10" s="25">
        <v>253.84</v>
      </c>
      <c r="F10" s="19" t="s">
        <v>30</v>
      </c>
      <c r="G10" s="26">
        <v>46255</v>
      </c>
    </row>
    <row r="11" spans="1:7" ht="15" customHeight="1">
      <c r="A11" s="11">
        <v>10</v>
      </c>
      <c r="B11" s="11" t="s">
        <v>91</v>
      </c>
      <c r="C11" s="11" t="s">
        <v>246</v>
      </c>
      <c r="D11" s="19" t="s">
        <v>256</v>
      </c>
      <c r="E11" s="25">
        <v>190.38</v>
      </c>
      <c r="F11" s="19" t="s">
        <v>46</v>
      </c>
      <c r="G11" s="26">
        <v>46262</v>
      </c>
    </row>
  </sheetData>
  <dataValidations count="2">
    <dataValidation type="list" allowBlank="1" sqref="B2:B995" xr:uid="{00000000-0002-0000-0300-000000000000}">
      <formula1>"NSW,ACT,VIC,QLD,South Australia,Tasmania,Western Australia"</formula1>
      <formula2>0</formula2>
    </dataValidation>
    <dataValidation type="list" allowBlank="1" sqref="C2:C995" xr:uid="{00000000-0002-0000-0300-000001000000}">
      <formula1>"New Service &amp; Resume Requests,Placed &amp; Scheduled Orders,Jobs Added Back to Permanent Dash,Jobs Added Back Now Placed,Orders Taken or Given Back,Churn,Service On Hold"</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tabSelected="1" zoomScaleNormal="100" workbookViewId="0">
      <selection activeCell="D24" sqref="D24"/>
    </sheetView>
  </sheetViews>
  <sheetFormatPr defaultColWidth="8.7109375" defaultRowHeight="15"/>
  <cols>
    <col min="1" max="1" width="3.140625" customWidth="1"/>
    <col min="2" max="2" width="13.85546875" customWidth="1"/>
    <col min="3" max="3" width="24.7109375" customWidth="1"/>
    <col min="4" max="4" width="25" customWidth="1"/>
    <col min="5" max="5" width="7.5703125" customWidth="1"/>
    <col min="6" max="6" width="20.5703125" customWidth="1"/>
    <col min="7" max="7" width="10.7109375" customWidth="1"/>
  </cols>
  <sheetData>
    <row r="1" spans="1:7" ht="15" customHeight="1">
      <c r="A1" s="23" t="s">
        <v>101</v>
      </c>
      <c r="B1" s="23" t="s">
        <v>88</v>
      </c>
      <c r="C1" s="23" t="s">
        <v>102</v>
      </c>
      <c r="D1" s="23" t="s">
        <v>103</v>
      </c>
      <c r="E1" s="23" t="s">
        <v>13</v>
      </c>
      <c r="F1" s="23" t="s">
        <v>104</v>
      </c>
      <c r="G1" s="24" t="s">
        <v>105</v>
      </c>
    </row>
    <row r="2" spans="1:7" ht="15" customHeight="1">
      <c r="A2" s="11">
        <v>1</v>
      </c>
      <c r="B2" s="11" t="s">
        <v>90</v>
      </c>
      <c r="C2" s="11" t="s">
        <v>257</v>
      </c>
      <c r="D2" s="19" t="s">
        <v>258</v>
      </c>
      <c r="E2" s="25">
        <v>190.38</v>
      </c>
      <c r="F2" s="19" t="s">
        <v>16</v>
      </c>
      <c r="G2" s="26">
        <v>46207</v>
      </c>
    </row>
    <row r="3" spans="1:7" ht="15" customHeight="1">
      <c r="A3" s="11">
        <v>2</v>
      </c>
      <c r="B3" s="11" t="s">
        <v>92</v>
      </c>
      <c r="C3" s="11" t="s">
        <v>257</v>
      </c>
      <c r="D3" s="19" t="s">
        <v>259</v>
      </c>
      <c r="E3" s="25">
        <v>253.84</v>
      </c>
      <c r="F3" s="19" t="s">
        <v>31</v>
      </c>
      <c r="G3" s="26">
        <v>46213</v>
      </c>
    </row>
    <row r="4" spans="1:7" ht="15" customHeight="1">
      <c r="A4" s="11">
        <v>3</v>
      </c>
      <c r="B4" s="11" t="s">
        <v>94</v>
      </c>
      <c r="C4" s="11" t="s">
        <v>257</v>
      </c>
      <c r="D4" s="19" t="s">
        <v>260</v>
      </c>
      <c r="E4" s="25">
        <v>126.92</v>
      </c>
      <c r="F4" s="19" t="s">
        <v>18</v>
      </c>
      <c r="G4" s="26">
        <v>46219</v>
      </c>
    </row>
    <row r="5" spans="1:7" ht="15" customHeight="1">
      <c r="A5" s="11">
        <v>4</v>
      </c>
      <c r="B5" s="11" t="s">
        <v>93</v>
      </c>
      <c r="C5" s="11" t="s">
        <v>257</v>
      </c>
      <c r="D5" s="19" t="s">
        <v>261</v>
      </c>
      <c r="E5" s="25">
        <v>190.38</v>
      </c>
      <c r="F5" s="19" t="s">
        <v>45</v>
      </c>
      <c r="G5" s="26">
        <v>46225</v>
      </c>
    </row>
    <row r="6" spans="1:7" ht="15" customHeight="1">
      <c r="A6" s="11">
        <v>5</v>
      </c>
      <c r="B6" s="11" t="s">
        <v>91</v>
      </c>
      <c r="C6" s="11" t="s">
        <v>257</v>
      </c>
      <c r="D6" s="19" t="s">
        <v>262</v>
      </c>
      <c r="E6" s="25">
        <v>253.84</v>
      </c>
      <c r="F6" s="19" t="s">
        <v>20</v>
      </c>
      <c r="G6" s="26">
        <v>46230</v>
      </c>
    </row>
    <row r="7" spans="1:7" ht="15" customHeight="1">
      <c r="A7" s="11">
        <v>6</v>
      </c>
      <c r="B7" s="11" t="s">
        <v>90</v>
      </c>
      <c r="C7" s="11" t="s">
        <v>257</v>
      </c>
      <c r="D7" s="19" t="s">
        <v>263</v>
      </c>
      <c r="E7" s="25">
        <v>190.38</v>
      </c>
      <c r="F7" s="19" t="s">
        <v>39</v>
      </c>
      <c r="G7" s="26">
        <v>46237</v>
      </c>
    </row>
    <row r="8" spans="1:7" ht="15" customHeight="1">
      <c r="A8" s="11">
        <v>7</v>
      </c>
      <c r="B8" s="11" t="s">
        <v>92</v>
      </c>
      <c r="C8" s="11" t="s">
        <v>257</v>
      </c>
      <c r="D8" s="19" t="s">
        <v>264</v>
      </c>
      <c r="E8" s="25">
        <v>253.84</v>
      </c>
      <c r="F8" s="19" t="s">
        <v>77</v>
      </c>
      <c r="G8" s="26">
        <v>46245</v>
      </c>
    </row>
    <row r="9" spans="1:7" ht="15" customHeight="1">
      <c r="A9" s="11">
        <v>8</v>
      </c>
      <c r="B9" s="11" t="s">
        <v>93</v>
      </c>
      <c r="C9" s="11" t="s">
        <v>257</v>
      </c>
      <c r="D9" s="19" t="s">
        <v>265</v>
      </c>
      <c r="E9" s="25">
        <v>126.92</v>
      </c>
      <c r="F9" s="19" t="s">
        <v>76</v>
      </c>
      <c r="G9" s="26">
        <v>46251</v>
      </c>
    </row>
    <row r="10" spans="1:7" ht="15" customHeight="1">
      <c r="A10" s="11">
        <v>9</v>
      </c>
      <c r="B10" s="11" t="s">
        <v>94</v>
      </c>
      <c r="C10" s="11" t="s">
        <v>257</v>
      </c>
      <c r="D10" s="19" t="s">
        <v>266</v>
      </c>
      <c r="E10" s="25">
        <v>190.38</v>
      </c>
      <c r="F10" s="19" t="s">
        <v>35</v>
      </c>
      <c r="G10" s="26">
        <v>46257</v>
      </c>
    </row>
    <row r="11" spans="1:7" ht="15" customHeight="1">
      <c r="A11" s="11">
        <v>10</v>
      </c>
      <c r="B11" s="11" t="s">
        <v>91</v>
      </c>
      <c r="C11" s="11" t="s">
        <v>257</v>
      </c>
      <c r="D11" s="19" t="s">
        <v>267</v>
      </c>
      <c r="E11" s="25">
        <v>253.84</v>
      </c>
      <c r="F11" s="19" t="s">
        <v>46</v>
      </c>
      <c r="G11" s="26">
        <v>46264</v>
      </c>
    </row>
  </sheetData>
  <dataValidations count="2">
    <dataValidation type="list" allowBlank="1" sqref="B2:B995" xr:uid="{00000000-0002-0000-0400-000000000000}">
      <formula1>"NSW,ACT,VIC,QLD,South Australia,Tasmania,Western Australia"</formula1>
      <formula2>0</formula2>
    </dataValidation>
    <dataValidation type="list" allowBlank="1" sqref="C2:C995" xr:uid="{00000000-0002-0000-0400-000001000000}">
      <formula1>"New Service &amp; Resume Requests,Placed &amp; Scheduled Orders,Jobs Added Back to Permanent Dash,Jobs Added Back Now Placed,Orders Taken or Given Back,Churn,Service On Hold"</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72"/>
  <sheetViews>
    <sheetView zoomScaleNormal="100" workbookViewId="0">
      <pane ySplit="1" topLeftCell="A2" activePane="bottomLeft" state="frozen"/>
      <selection pane="bottomLeft" activeCell="A2" sqref="A2"/>
    </sheetView>
  </sheetViews>
  <sheetFormatPr defaultColWidth="8.7109375" defaultRowHeight="15"/>
  <cols>
    <col min="1" max="1" width="15.140625" customWidth="1"/>
    <col min="2" max="2" width="18.7109375" customWidth="1"/>
    <col min="3" max="3" width="25.85546875" customWidth="1"/>
    <col min="4" max="4" width="11" customWidth="1"/>
    <col min="5" max="5" width="9" customWidth="1"/>
    <col min="6" max="6" width="13.28515625" customWidth="1"/>
    <col min="7" max="7" width="13.7109375" customWidth="1"/>
    <col min="8" max="8" width="15.28515625" customWidth="1"/>
    <col min="9" max="9" width="27.42578125" customWidth="1"/>
    <col min="10" max="10" width="29.85546875" customWidth="1"/>
    <col min="11" max="11" width="17.7109375" customWidth="1"/>
    <col min="12" max="12" width="34.28515625" customWidth="1"/>
    <col min="13" max="13" width="50.85546875" customWidth="1"/>
  </cols>
  <sheetData>
    <row r="1" spans="1:13" ht="15" customHeight="1">
      <c r="A1" s="23" t="s">
        <v>268</v>
      </c>
      <c r="B1" s="23" t="s">
        <v>269</v>
      </c>
      <c r="C1" s="23" t="s">
        <v>270</v>
      </c>
      <c r="D1" s="23" t="s">
        <v>271</v>
      </c>
      <c r="E1" s="23" t="s">
        <v>272</v>
      </c>
      <c r="F1" s="23" t="s">
        <v>273</v>
      </c>
      <c r="G1" s="23" t="s">
        <v>274</v>
      </c>
      <c r="H1" s="23" t="s">
        <v>275</v>
      </c>
      <c r="I1" s="23" t="s">
        <v>276</v>
      </c>
      <c r="J1" s="23" t="s">
        <v>277</v>
      </c>
      <c r="K1" s="23" t="s">
        <v>278</v>
      </c>
      <c r="L1" s="23" t="s">
        <v>279</v>
      </c>
      <c r="M1" s="23" t="s">
        <v>280</v>
      </c>
    </row>
    <row r="2" spans="1:13" ht="15" customHeight="1">
      <c r="A2" s="27">
        <v>46215</v>
      </c>
      <c r="B2" s="11">
        <v>7010</v>
      </c>
      <c r="C2" s="10" t="s">
        <v>281</v>
      </c>
      <c r="D2" s="11" t="s">
        <v>282</v>
      </c>
      <c r="E2" s="11" t="b">
        <f>FALSE()</f>
        <v>0</v>
      </c>
      <c r="F2" s="27">
        <v>15924</v>
      </c>
      <c r="G2" s="11" t="s">
        <v>283</v>
      </c>
      <c r="H2" s="11" t="s">
        <v>284</v>
      </c>
      <c r="I2" s="11" t="s">
        <v>285</v>
      </c>
      <c r="J2" s="11" t="s">
        <v>286</v>
      </c>
      <c r="K2" s="27">
        <v>46027</v>
      </c>
      <c r="L2" s="11" t="s">
        <v>287</v>
      </c>
      <c r="M2" s="11" t="s">
        <v>77</v>
      </c>
    </row>
    <row r="3" spans="1:13" ht="15" customHeight="1">
      <c r="A3" s="27">
        <v>46198</v>
      </c>
      <c r="B3" s="11">
        <v>7009</v>
      </c>
      <c r="C3" s="10" t="s">
        <v>288</v>
      </c>
      <c r="D3" s="11" t="s">
        <v>289</v>
      </c>
      <c r="E3" s="11" t="b">
        <f>FALSE()</f>
        <v>0</v>
      </c>
      <c r="F3" s="27">
        <v>14533</v>
      </c>
      <c r="G3" s="11" t="s">
        <v>283</v>
      </c>
      <c r="H3" s="11" t="s">
        <v>290</v>
      </c>
      <c r="I3" s="11" t="s">
        <v>291</v>
      </c>
      <c r="J3" s="11" t="s">
        <v>292</v>
      </c>
      <c r="K3" s="27">
        <v>46075</v>
      </c>
      <c r="L3" s="11" t="s">
        <v>293</v>
      </c>
      <c r="M3" s="11" t="s">
        <v>32</v>
      </c>
    </row>
    <row r="4" spans="1:13" ht="15" customHeight="1">
      <c r="A4" s="27">
        <v>46181</v>
      </c>
      <c r="B4" s="11">
        <v>7008</v>
      </c>
      <c r="C4" s="10" t="s">
        <v>294</v>
      </c>
      <c r="D4" s="11" t="s">
        <v>295</v>
      </c>
      <c r="E4" s="11" t="b">
        <f>FALSE()</f>
        <v>0</v>
      </c>
      <c r="F4" s="27">
        <v>12136</v>
      </c>
      <c r="G4" s="11" t="s">
        <v>283</v>
      </c>
      <c r="H4" s="11" t="s">
        <v>296</v>
      </c>
      <c r="I4" s="11" t="s">
        <v>297</v>
      </c>
      <c r="J4" s="11" t="s">
        <v>298</v>
      </c>
      <c r="K4" s="27">
        <v>46092</v>
      </c>
      <c r="L4" s="11" t="s">
        <v>299</v>
      </c>
      <c r="M4" s="11" t="s">
        <v>18</v>
      </c>
    </row>
    <row r="5" spans="1:13" ht="15" customHeight="1">
      <c r="A5" s="27">
        <v>46163</v>
      </c>
      <c r="B5" s="11">
        <v>7007</v>
      </c>
      <c r="C5" s="10" t="s">
        <v>300</v>
      </c>
      <c r="D5" s="11" t="s">
        <v>301</v>
      </c>
      <c r="E5" s="11" t="b">
        <f>FALSE()</f>
        <v>0</v>
      </c>
      <c r="F5" s="27">
        <v>15522</v>
      </c>
      <c r="G5" s="11" t="s">
        <v>302</v>
      </c>
      <c r="H5" s="11" t="s">
        <v>303</v>
      </c>
      <c r="I5" s="11" t="s">
        <v>304</v>
      </c>
      <c r="J5" s="11" t="s">
        <v>305</v>
      </c>
      <c r="K5" s="27">
        <v>46118</v>
      </c>
      <c r="L5" s="11" t="s">
        <v>306</v>
      </c>
      <c r="M5" s="11" t="s">
        <v>20</v>
      </c>
    </row>
    <row r="6" spans="1:13" ht="15" customHeight="1">
      <c r="A6" s="27">
        <v>46144</v>
      </c>
      <c r="B6" s="11">
        <v>7006</v>
      </c>
      <c r="C6" s="10" t="s">
        <v>307</v>
      </c>
      <c r="D6" s="11" t="s">
        <v>308</v>
      </c>
      <c r="E6" s="11" t="b">
        <f>FALSE()</f>
        <v>0</v>
      </c>
      <c r="F6" s="27">
        <v>13860</v>
      </c>
      <c r="G6" s="11" t="s">
        <v>283</v>
      </c>
      <c r="H6" s="11" t="s">
        <v>309</v>
      </c>
      <c r="I6" s="11" t="s">
        <v>310</v>
      </c>
      <c r="J6" s="11" t="s">
        <v>311</v>
      </c>
      <c r="K6" s="27">
        <v>46132</v>
      </c>
      <c r="L6" s="11" t="s">
        <v>312</v>
      </c>
      <c r="M6" s="11" t="s">
        <v>33</v>
      </c>
    </row>
    <row r="7" spans="1:13" ht="15" customHeight="1">
      <c r="A7" s="27">
        <v>46127</v>
      </c>
      <c r="B7" s="11">
        <v>7005</v>
      </c>
      <c r="C7" s="10" t="s">
        <v>313</v>
      </c>
      <c r="D7" s="11" t="s">
        <v>314</v>
      </c>
      <c r="E7" s="11" t="b">
        <f>FALSE()</f>
        <v>0</v>
      </c>
      <c r="F7" s="27">
        <v>14645</v>
      </c>
      <c r="G7" s="11" t="s">
        <v>283</v>
      </c>
      <c r="H7" s="11" t="s">
        <v>315</v>
      </c>
      <c r="I7" s="11" t="s">
        <v>316</v>
      </c>
      <c r="J7" s="11" t="s">
        <v>317</v>
      </c>
      <c r="K7" s="27">
        <v>46151</v>
      </c>
      <c r="L7" s="11" t="s">
        <v>318</v>
      </c>
      <c r="M7" s="11" t="s">
        <v>45</v>
      </c>
    </row>
    <row r="8" spans="1:13" ht="15" customHeight="1">
      <c r="A8" s="27">
        <v>46111</v>
      </c>
      <c r="B8" s="11">
        <v>7004</v>
      </c>
      <c r="C8" s="10" t="s">
        <v>319</v>
      </c>
      <c r="D8" s="11" t="s">
        <v>320</v>
      </c>
      <c r="E8" s="11" t="b">
        <f>FALSE()</f>
        <v>0</v>
      </c>
      <c r="F8" s="27">
        <v>16334</v>
      </c>
      <c r="G8" s="11" t="s">
        <v>283</v>
      </c>
      <c r="H8" s="11" t="s">
        <v>321</v>
      </c>
      <c r="I8" s="11" t="s">
        <v>322</v>
      </c>
      <c r="J8" s="11" t="s">
        <v>323</v>
      </c>
      <c r="K8" s="27">
        <v>46170</v>
      </c>
      <c r="L8" s="11" t="s">
        <v>293</v>
      </c>
      <c r="M8" s="11" t="s">
        <v>39</v>
      </c>
    </row>
    <row r="9" spans="1:13" ht="15" customHeight="1">
      <c r="A9" s="27">
        <v>46090</v>
      </c>
      <c r="B9" s="11">
        <v>7003</v>
      </c>
      <c r="C9" s="10" t="s">
        <v>324</v>
      </c>
      <c r="D9" s="11" t="s">
        <v>325</v>
      </c>
      <c r="E9" s="11" t="b">
        <f>FALSE()</f>
        <v>0</v>
      </c>
      <c r="F9" s="27">
        <v>12992</v>
      </c>
      <c r="G9" s="11" t="s">
        <v>302</v>
      </c>
      <c r="H9" s="11" t="s">
        <v>326</v>
      </c>
      <c r="I9" s="11" t="s">
        <v>327</v>
      </c>
      <c r="J9" s="11" t="s">
        <v>328</v>
      </c>
      <c r="K9" s="27">
        <v>46187</v>
      </c>
      <c r="L9" s="11" t="s">
        <v>329</v>
      </c>
      <c r="M9" s="11" t="s">
        <v>30</v>
      </c>
    </row>
    <row r="10" spans="1:13" ht="15" customHeight="1">
      <c r="A10" s="27">
        <v>46071</v>
      </c>
      <c r="B10" s="11">
        <v>7002</v>
      </c>
      <c r="C10" s="10" t="s">
        <v>330</v>
      </c>
      <c r="D10" s="11" t="s">
        <v>331</v>
      </c>
      <c r="E10" s="11" t="b">
        <f>FALSE()</f>
        <v>0</v>
      </c>
      <c r="F10" s="27">
        <v>15282</v>
      </c>
      <c r="G10" s="11" t="s">
        <v>283</v>
      </c>
      <c r="H10" s="11" t="s">
        <v>332</v>
      </c>
      <c r="I10" s="11" t="s">
        <v>333</v>
      </c>
      <c r="J10" s="11" t="s">
        <v>334</v>
      </c>
      <c r="K10" s="27">
        <v>46204</v>
      </c>
      <c r="L10" s="11" t="s">
        <v>287</v>
      </c>
      <c r="M10" s="11" t="s">
        <v>15</v>
      </c>
    </row>
    <row r="11" spans="1:13" ht="15" customHeight="1">
      <c r="A11" s="27">
        <v>46025</v>
      </c>
      <c r="B11" s="11">
        <v>7001</v>
      </c>
      <c r="C11" s="10" t="s">
        <v>335</v>
      </c>
      <c r="D11" s="11" t="s">
        <v>336</v>
      </c>
      <c r="E11" s="11" t="b">
        <f>FALSE()</f>
        <v>0</v>
      </c>
      <c r="F11" s="27">
        <v>14014</v>
      </c>
      <c r="G11" s="11" t="s">
        <v>283</v>
      </c>
      <c r="H11" s="11" t="s">
        <v>337</v>
      </c>
      <c r="I11" s="11" t="s">
        <v>338</v>
      </c>
      <c r="J11" s="11" t="s">
        <v>339</v>
      </c>
      <c r="K11" s="27">
        <v>46222</v>
      </c>
      <c r="L11" s="11" t="s">
        <v>299</v>
      </c>
      <c r="M11" s="11" t="s">
        <v>16</v>
      </c>
    </row>
    <row r="12" spans="1:13" ht="15" customHeight="1">
      <c r="A12" s="27" t="s">
        <v>340</v>
      </c>
      <c r="B12" s="11">
        <v>6185</v>
      </c>
      <c r="C12" s="11" t="s">
        <v>341</v>
      </c>
      <c r="D12" s="11" t="s">
        <v>342</v>
      </c>
      <c r="E12" s="11" t="s">
        <v>343</v>
      </c>
      <c r="F12" s="27"/>
      <c r="G12" s="11" t="s">
        <v>302</v>
      </c>
      <c r="H12" s="11"/>
      <c r="I12" s="11"/>
      <c r="J12" s="11" t="s">
        <v>344</v>
      </c>
      <c r="K12" s="27">
        <v>46335</v>
      </c>
      <c r="L12" s="11" t="s">
        <v>293</v>
      </c>
      <c r="M12" s="11" t="s">
        <v>345</v>
      </c>
    </row>
    <row r="13" spans="1:13" ht="15" customHeight="1">
      <c r="A13" s="27"/>
      <c r="B13" s="11"/>
      <c r="C13" s="11"/>
      <c r="D13" s="11"/>
      <c r="E13" s="11"/>
      <c r="F13" s="27"/>
      <c r="G13" s="11"/>
      <c r="H13" s="11"/>
      <c r="I13" s="11"/>
      <c r="J13" s="11"/>
      <c r="K13" s="27"/>
      <c r="L13" s="11"/>
      <c r="M13" s="11"/>
    </row>
    <row r="14" spans="1:13" ht="15" customHeight="1">
      <c r="A14" s="27"/>
      <c r="B14" s="11"/>
      <c r="C14" s="11"/>
      <c r="D14" s="11"/>
      <c r="E14" s="11"/>
      <c r="F14" s="27"/>
      <c r="G14" s="11"/>
      <c r="H14" s="11"/>
      <c r="I14" s="11"/>
      <c r="J14" s="11"/>
      <c r="K14" s="27"/>
      <c r="L14" s="11"/>
      <c r="M14" s="11"/>
    </row>
    <row r="15" spans="1:13" ht="15" customHeight="1">
      <c r="A15" s="27"/>
      <c r="B15" s="11"/>
      <c r="C15" s="11"/>
      <c r="D15" s="11"/>
      <c r="E15" s="11"/>
      <c r="F15" s="27"/>
      <c r="G15" s="11"/>
      <c r="H15" s="11"/>
      <c r="I15" s="11"/>
      <c r="J15" s="11"/>
      <c r="K15" s="27"/>
      <c r="L15" s="11"/>
      <c r="M15" s="11"/>
    </row>
    <row r="16" spans="1:13" ht="15" customHeight="1">
      <c r="A16" s="27"/>
      <c r="B16" s="11"/>
      <c r="C16" s="11"/>
      <c r="D16" s="11"/>
      <c r="E16" s="11"/>
      <c r="F16" s="27"/>
      <c r="G16" s="11"/>
      <c r="H16" s="11"/>
      <c r="I16" s="11"/>
      <c r="J16" s="11"/>
      <c r="K16" s="27"/>
      <c r="L16" s="11"/>
      <c r="M16" s="11"/>
    </row>
    <row r="17" spans="1:13" ht="15" customHeight="1">
      <c r="A17" s="27"/>
      <c r="B17" s="11"/>
      <c r="C17" s="11"/>
      <c r="D17" s="11"/>
      <c r="E17" s="11"/>
      <c r="F17" s="27"/>
      <c r="G17" s="11"/>
      <c r="H17" s="11"/>
      <c r="I17" s="11"/>
      <c r="J17" s="11"/>
      <c r="K17" s="27"/>
      <c r="L17" s="11"/>
      <c r="M17" s="11"/>
    </row>
    <row r="18" spans="1:13" ht="15" customHeight="1">
      <c r="A18" s="27"/>
      <c r="B18" s="11"/>
      <c r="C18" s="11"/>
      <c r="D18" s="11"/>
      <c r="E18" s="11"/>
      <c r="F18" s="27"/>
      <c r="G18" s="11"/>
      <c r="H18" s="11"/>
      <c r="I18" s="11"/>
      <c r="J18" s="11"/>
      <c r="K18" s="27"/>
      <c r="L18" s="11"/>
      <c r="M18" s="11"/>
    </row>
    <row r="19" spans="1:13" ht="15" customHeight="1">
      <c r="A19" s="27"/>
      <c r="B19" s="11"/>
      <c r="C19" s="11"/>
      <c r="D19" s="11"/>
      <c r="E19" s="11"/>
      <c r="F19" s="27"/>
      <c r="G19" s="11"/>
      <c r="H19" s="11"/>
      <c r="I19" s="11"/>
      <c r="J19" s="11"/>
      <c r="K19" s="27"/>
      <c r="L19" s="11"/>
      <c r="M19" s="11"/>
    </row>
    <row r="20" spans="1:13" ht="15" customHeight="1">
      <c r="A20" s="27"/>
      <c r="B20" s="11"/>
      <c r="C20" s="11"/>
      <c r="D20" s="11"/>
      <c r="E20" s="11"/>
      <c r="F20" s="27"/>
      <c r="G20" s="11"/>
      <c r="H20" s="11"/>
      <c r="I20" s="11"/>
      <c r="J20" s="11"/>
      <c r="K20" s="27"/>
      <c r="L20" s="11"/>
      <c r="M20" s="11"/>
    </row>
    <row r="21" spans="1:13" ht="15" customHeight="1">
      <c r="A21" s="27"/>
      <c r="B21" s="11"/>
      <c r="C21" s="11"/>
      <c r="D21" s="11"/>
      <c r="E21" s="11"/>
      <c r="F21" s="27"/>
      <c r="G21" s="11"/>
      <c r="H21" s="11"/>
      <c r="I21" s="11"/>
      <c r="J21" s="11"/>
      <c r="K21" s="27"/>
      <c r="L21" s="11"/>
      <c r="M21" s="11"/>
    </row>
    <row r="22" spans="1:13" ht="15" customHeight="1">
      <c r="A22" s="27"/>
      <c r="B22" s="11"/>
      <c r="C22" s="11"/>
      <c r="D22" s="11"/>
      <c r="E22" s="11"/>
      <c r="F22" s="27"/>
      <c r="G22" s="11"/>
      <c r="H22" s="11"/>
      <c r="I22" s="11"/>
      <c r="J22" s="11"/>
      <c r="K22" s="27"/>
      <c r="L22" s="11"/>
      <c r="M22" s="11"/>
    </row>
    <row r="23" spans="1:13" ht="15" customHeight="1">
      <c r="A23" s="27"/>
      <c r="B23" s="11"/>
      <c r="C23" s="11"/>
      <c r="D23" s="11"/>
      <c r="E23" s="11"/>
      <c r="F23" s="27"/>
      <c r="G23" s="11"/>
      <c r="H23" s="11"/>
      <c r="I23" s="11"/>
      <c r="J23" s="11"/>
      <c r="K23" s="27"/>
      <c r="L23" s="11"/>
      <c r="M23" s="11"/>
    </row>
    <row r="24" spans="1:13" ht="15" customHeight="1">
      <c r="A24" s="27"/>
      <c r="B24" s="11"/>
      <c r="C24" s="11"/>
      <c r="D24" s="11"/>
      <c r="E24" s="11"/>
      <c r="F24" s="27"/>
      <c r="G24" s="11"/>
      <c r="H24" s="11"/>
      <c r="I24" s="11"/>
      <c r="J24" s="11"/>
      <c r="K24" s="27"/>
      <c r="L24" s="11"/>
      <c r="M24" s="11"/>
    </row>
    <row r="25" spans="1:13" ht="15" customHeight="1">
      <c r="A25" s="27"/>
      <c r="B25" s="11"/>
      <c r="C25" s="11"/>
      <c r="D25" s="11"/>
      <c r="E25" s="11"/>
      <c r="F25" s="27"/>
      <c r="G25" s="11"/>
      <c r="H25" s="11"/>
      <c r="I25" s="11"/>
      <c r="J25" s="11"/>
      <c r="K25" s="27"/>
      <c r="L25" s="11"/>
      <c r="M25" s="11"/>
    </row>
    <row r="26" spans="1:13" ht="15" customHeight="1">
      <c r="A26" s="27"/>
      <c r="B26" s="11"/>
      <c r="C26" s="11"/>
      <c r="D26" s="11"/>
      <c r="E26" s="11"/>
      <c r="F26" s="27"/>
      <c r="G26" s="11"/>
      <c r="H26" s="11"/>
      <c r="I26" s="11"/>
      <c r="J26" s="11"/>
      <c r="K26" s="27"/>
      <c r="L26" s="11"/>
      <c r="M26" s="11"/>
    </row>
    <row r="27" spans="1:13" ht="15" customHeight="1">
      <c r="A27" s="27"/>
      <c r="B27" s="11"/>
      <c r="C27" s="11"/>
      <c r="D27" s="11"/>
      <c r="E27" s="11"/>
      <c r="F27" s="27"/>
      <c r="G27" s="11"/>
      <c r="H27" s="11"/>
      <c r="I27" s="11"/>
      <c r="J27" s="11"/>
      <c r="K27" s="27"/>
      <c r="L27" s="11"/>
      <c r="M27" s="11"/>
    </row>
    <row r="28" spans="1:13" ht="15" customHeight="1">
      <c r="A28" s="27"/>
      <c r="B28" s="11"/>
      <c r="C28" s="11"/>
      <c r="D28" s="11"/>
      <c r="E28" s="11"/>
      <c r="F28" s="27"/>
      <c r="G28" s="11"/>
      <c r="H28" s="11"/>
      <c r="I28" s="11"/>
      <c r="J28" s="11"/>
      <c r="K28" s="27"/>
      <c r="L28" s="11"/>
      <c r="M28" s="11"/>
    </row>
    <row r="29" spans="1:13" ht="15" customHeight="1">
      <c r="A29" s="27"/>
      <c r="B29" s="11"/>
      <c r="C29" s="11"/>
      <c r="D29" s="11"/>
      <c r="E29" s="11"/>
      <c r="F29" s="27"/>
      <c r="G29" s="11"/>
      <c r="H29" s="11"/>
      <c r="I29" s="11"/>
      <c r="J29" s="11"/>
      <c r="K29" s="27"/>
      <c r="L29" s="11"/>
      <c r="M29" s="11"/>
    </row>
    <row r="30" spans="1:13" ht="15" customHeight="1">
      <c r="A30" s="27"/>
      <c r="B30" s="11"/>
      <c r="C30" s="11"/>
      <c r="D30" s="11"/>
      <c r="E30" s="11"/>
      <c r="F30" s="27"/>
      <c r="G30" s="11"/>
      <c r="H30" s="11"/>
      <c r="I30" s="11"/>
      <c r="J30" s="11"/>
      <c r="K30" s="27"/>
      <c r="L30" s="11"/>
      <c r="M30" s="11"/>
    </row>
    <row r="31" spans="1:13" ht="15" customHeight="1">
      <c r="A31" s="27"/>
      <c r="B31" s="11"/>
      <c r="C31" s="11"/>
      <c r="D31" s="11"/>
      <c r="E31" s="11"/>
      <c r="F31" s="27"/>
      <c r="G31" s="11"/>
      <c r="H31" s="11"/>
      <c r="I31" s="11"/>
      <c r="J31" s="11"/>
      <c r="K31" s="27"/>
      <c r="L31" s="11"/>
      <c r="M31" s="11"/>
    </row>
    <row r="32" spans="1:13" ht="15" customHeight="1">
      <c r="A32" s="27"/>
      <c r="B32" s="11"/>
      <c r="C32" s="11"/>
      <c r="D32" s="11"/>
      <c r="E32" s="11"/>
      <c r="F32" s="27"/>
      <c r="G32" s="11"/>
      <c r="H32" s="11"/>
      <c r="I32" s="11"/>
      <c r="J32" s="11"/>
      <c r="K32" s="27"/>
      <c r="L32" s="11"/>
      <c r="M32" s="11"/>
    </row>
    <row r="33" spans="1:13" ht="15" customHeight="1">
      <c r="A33" s="27"/>
      <c r="B33" s="11"/>
      <c r="C33" s="11"/>
      <c r="D33" s="11"/>
      <c r="E33" s="11"/>
      <c r="F33" s="27"/>
      <c r="G33" s="11"/>
      <c r="H33" s="11"/>
      <c r="I33" s="11"/>
      <c r="J33" s="11"/>
      <c r="K33" s="27"/>
      <c r="L33" s="11"/>
      <c r="M33" s="11"/>
    </row>
    <row r="34" spans="1:13" ht="15" customHeight="1">
      <c r="A34" s="27"/>
      <c r="B34" s="11"/>
      <c r="C34" s="11"/>
      <c r="D34" s="11"/>
      <c r="E34" s="11"/>
      <c r="F34" s="27"/>
      <c r="G34" s="11"/>
      <c r="H34" s="11"/>
      <c r="I34" s="11"/>
      <c r="J34" s="11"/>
      <c r="K34" s="27"/>
      <c r="L34" s="11"/>
      <c r="M34" s="11"/>
    </row>
    <row r="35" spans="1:13" ht="15" customHeight="1">
      <c r="A35" s="27"/>
      <c r="B35" s="11"/>
      <c r="C35" s="11"/>
      <c r="D35" s="11"/>
      <c r="E35" s="11"/>
      <c r="F35" s="27"/>
      <c r="G35" s="11"/>
      <c r="H35" s="11"/>
      <c r="I35" s="11"/>
      <c r="J35" s="11"/>
      <c r="K35" s="27"/>
      <c r="L35" s="11"/>
      <c r="M35" s="11"/>
    </row>
    <row r="36" spans="1:13" ht="15" customHeight="1">
      <c r="A36" s="27"/>
      <c r="B36" s="11"/>
      <c r="C36" s="11"/>
      <c r="D36" s="11"/>
      <c r="E36" s="11"/>
      <c r="F36" s="27"/>
      <c r="G36" s="11"/>
      <c r="H36" s="11"/>
      <c r="I36" s="11"/>
      <c r="J36" s="11"/>
      <c r="K36" s="27"/>
      <c r="L36" s="11"/>
      <c r="M36" s="11"/>
    </row>
    <row r="37" spans="1:13" ht="15" customHeight="1">
      <c r="A37" s="27"/>
      <c r="B37" s="11"/>
      <c r="C37" s="11"/>
      <c r="D37" s="11"/>
      <c r="E37" s="11"/>
      <c r="F37" s="27"/>
      <c r="G37" s="11"/>
      <c r="H37" s="11"/>
      <c r="I37" s="11"/>
      <c r="J37" s="11"/>
      <c r="K37" s="27"/>
      <c r="L37" s="11"/>
      <c r="M37" s="11"/>
    </row>
    <row r="38" spans="1:13" ht="15" customHeight="1">
      <c r="A38" s="27"/>
      <c r="B38" s="11"/>
      <c r="C38" s="11"/>
      <c r="D38" s="11"/>
      <c r="E38" s="11"/>
      <c r="F38" s="27"/>
      <c r="G38" s="11"/>
      <c r="H38" s="11"/>
      <c r="I38" s="11"/>
      <c r="J38" s="11"/>
      <c r="K38" s="27"/>
      <c r="L38" s="11"/>
      <c r="M38" s="11"/>
    </row>
    <row r="39" spans="1:13" ht="15" customHeight="1">
      <c r="A39" s="27"/>
      <c r="B39" s="11"/>
      <c r="C39" s="11"/>
      <c r="D39" s="11"/>
      <c r="E39" s="11"/>
      <c r="F39" s="27"/>
      <c r="G39" s="11"/>
      <c r="H39" s="11"/>
      <c r="I39" s="11"/>
      <c r="J39" s="11"/>
      <c r="K39" s="27"/>
      <c r="L39" s="11"/>
      <c r="M39" s="11"/>
    </row>
    <row r="40" spans="1:13" ht="15" customHeight="1">
      <c r="A40" s="27"/>
      <c r="B40" s="11"/>
      <c r="C40" s="11"/>
      <c r="D40" s="11"/>
      <c r="E40" s="11"/>
      <c r="F40" s="27"/>
      <c r="G40" s="11"/>
      <c r="H40" s="11"/>
      <c r="I40" s="11"/>
      <c r="J40" s="11"/>
      <c r="K40" s="27"/>
      <c r="L40" s="11"/>
      <c r="M40" s="11"/>
    </row>
    <row r="41" spans="1:13" ht="15" customHeight="1">
      <c r="A41" s="27"/>
      <c r="B41" s="11"/>
      <c r="C41" s="11"/>
      <c r="D41" s="11"/>
      <c r="E41" s="11"/>
      <c r="F41" s="27"/>
      <c r="G41" s="11"/>
      <c r="H41" s="11"/>
      <c r="I41" s="11"/>
      <c r="J41" s="11"/>
      <c r="K41" s="27"/>
      <c r="L41" s="11"/>
      <c r="M41" s="11"/>
    </row>
    <row r="42" spans="1:13" ht="15" customHeight="1">
      <c r="A42" s="27"/>
      <c r="B42" s="11"/>
      <c r="C42" s="11"/>
      <c r="D42" s="11"/>
      <c r="E42" s="11"/>
      <c r="F42" s="27"/>
      <c r="G42" s="11"/>
      <c r="H42" s="11"/>
      <c r="I42" s="11"/>
      <c r="J42" s="11"/>
      <c r="K42" s="27"/>
      <c r="L42" s="11"/>
      <c r="M42" s="11"/>
    </row>
    <row r="43" spans="1:13" ht="15" customHeight="1">
      <c r="A43" s="27"/>
      <c r="B43" s="11"/>
      <c r="C43" s="11"/>
      <c r="D43" s="11"/>
      <c r="E43" s="11"/>
      <c r="F43" s="27"/>
      <c r="G43" s="11"/>
      <c r="H43" s="11"/>
      <c r="I43" s="11"/>
      <c r="J43" s="11"/>
      <c r="K43" s="27"/>
      <c r="L43" s="11"/>
      <c r="M43" s="11"/>
    </row>
    <row r="44" spans="1:13" ht="15" customHeight="1">
      <c r="A44" s="27"/>
      <c r="B44" s="11"/>
      <c r="C44" s="11"/>
      <c r="D44" s="11"/>
      <c r="E44" s="11"/>
      <c r="F44" s="27"/>
      <c r="G44" s="11"/>
      <c r="H44" s="11"/>
      <c r="I44" s="11"/>
      <c r="J44" s="11"/>
      <c r="K44" s="27"/>
      <c r="L44" s="11"/>
      <c r="M44" s="11"/>
    </row>
    <row r="45" spans="1:13" ht="15" customHeight="1">
      <c r="A45" s="27"/>
      <c r="B45" s="11"/>
      <c r="C45" s="11"/>
      <c r="D45" s="11"/>
      <c r="E45" s="11"/>
      <c r="F45" s="27"/>
      <c r="G45" s="11"/>
      <c r="H45" s="11"/>
      <c r="I45" s="11"/>
      <c r="J45" s="11"/>
      <c r="K45" s="27"/>
      <c r="L45" s="11"/>
      <c r="M45" s="11"/>
    </row>
    <row r="46" spans="1:13" ht="15" customHeight="1">
      <c r="A46" s="27"/>
      <c r="B46" s="11"/>
      <c r="C46" s="11"/>
      <c r="D46" s="11"/>
      <c r="E46" s="11"/>
      <c r="F46" s="27"/>
      <c r="G46" s="11"/>
      <c r="H46" s="11"/>
      <c r="I46" s="11"/>
      <c r="J46" s="11"/>
      <c r="K46" s="27"/>
      <c r="L46" s="11"/>
      <c r="M46" s="11"/>
    </row>
    <row r="47" spans="1:13" ht="15" customHeight="1">
      <c r="A47" s="27"/>
      <c r="B47" s="11"/>
      <c r="C47" s="11"/>
      <c r="D47" s="11"/>
      <c r="E47" s="11"/>
      <c r="F47" s="27"/>
      <c r="G47" s="11"/>
      <c r="H47" s="11"/>
      <c r="I47" s="11"/>
      <c r="J47" s="11"/>
      <c r="K47" s="27"/>
      <c r="L47" s="11"/>
      <c r="M47" s="11"/>
    </row>
    <row r="48" spans="1:13" ht="15" customHeight="1">
      <c r="A48" s="27"/>
      <c r="B48" s="11"/>
      <c r="C48" s="11"/>
      <c r="D48" s="11"/>
      <c r="E48" s="11"/>
      <c r="F48" s="27"/>
      <c r="G48" s="11"/>
      <c r="H48" s="11"/>
      <c r="I48" s="11"/>
      <c r="J48" s="11"/>
      <c r="K48" s="27"/>
      <c r="L48" s="11"/>
      <c r="M48" s="11"/>
    </row>
    <row r="49" spans="1:13" ht="15" customHeight="1">
      <c r="A49" s="27"/>
      <c r="B49" s="11"/>
      <c r="C49" s="11"/>
      <c r="D49" s="11"/>
      <c r="E49" s="11"/>
      <c r="F49" s="27"/>
      <c r="G49" s="11"/>
      <c r="H49" s="11"/>
      <c r="I49" s="11"/>
      <c r="J49" s="11"/>
      <c r="K49" s="27"/>
      <c r="L49" s="11"/>
      <c r="M49" s="11"/>
    </row>
    <row r="50" spans="1:13" ht="15" customHeight="1">
      <c r="A50" s="27"/>
      <c r="B50" s="11"/>
      <c r="C50" s="11"/>
      <c r="D50" s="11"/>
      <c r="E50" s="11"/>
      <c r="F50" s="27"/>
      <c r="G50" s="11"/>
      <c r="H50" s="11"/>
      <c r="I50" s="11"/>
      <c r="J50" s="11"/>
      <c r="K50" s="27"/>
      <c r="L50" s="11"/>
      <c r="M50" s="11"/>
    </row>
    <row r="51" spans="1:13" ht="15" customHeight="1">
      <c r="A51" s="27"/>
      <c r="B51" s="11"/>
      <c r="C51" s="11"/>
      <c r="D51" s="11"/>
      <c r="E51" s="11"/>
      <c r="F51" s="27"/>
      <c r="G51" s="11"/>
      <c r="H51" s="11"/>
      <c r="I51" s="11"/>
      <c r="J51" s="11"/>
      <c r="K51" s="27"/>
      <c r="L51" s="11"/>
      <c r="M51" s="11"/>
    </row>
    <row r="52" spans="1:13" ht="15" customHeight="1">
      <c r="A52" s="27"/>
      <c r="B52" s="11"/>
      <c r="C52" s="11"/>
      <c r="D52" s="11"/>
      <c r="E52" s="11"/>
      <c r="F52" s="27"/>
      <c r="G52" s="11"/>
      <c r="H52" s="11"/>
      <c r="I52" s="11"/>
      <c r="J52" s="11"/>
      <c r="K52" s="27"/>
      <c r="L52" s="11"/>
      <c r="M52" s="11"/>
    </row>
    <row r="53" spans="1:13" ht="15" customHeight="1">
      <c r="A53" s="27"/>
      <c r="B53" s="11"/>
      <c r="C53" s="11"/>
      <c r="D53" s="11"/>
      <c r="E53" s="11"/>
      <c r="F53" s="27"/>
      <c r="G53" s="11"/>
      <c r="H53" s="11"/>
      <c r="I53" s="11"/>
      <c r="J53" s="11"/>
      <c r="K53" s="27"/>
      <c r="L53" s="11"/>
      <c r="M53" s="11"/>
    </row>
    <row r="54" spans="1:13" ht="15" customHeight="1">
      <c r="A54" s="27"/>
      <c r="B54" s="11"/>
      <c r="C54" s="11"/>
      <c r="D54" s="11"/>
      <c r="E54" s="11"/>
      <c r="F54" s="27"/>
      <c r="G54" s="11"/>
      <c r="H54" s="11"/>
      <c r="I54" s="11"/>
      <c r="J54" s="11"/>
      <c r="K54" s="27"/>
      <c r="L54" s="11"/>
      <c r="M54" s="11"/>
    </row>
    <row r="55" spans="1:13" ht="15" customHeight="1">
      <c r="A55" s="27"/>
      <c r="B55" s="11"/>
      <c r="C55" s="11"/>
      <c r="D55" s="11"/>
      <c r="E55" s="11"/>
      <c r="F55" s="27"/>
      <c r="G55" s="11"/>
      <c r="H55" s="11"/>
      <c r="I55" s="11"/>
      <c r="J55" s="11"/>
      <c r="K55" s="27"/>
      <c r="L55" s="11"/>
      <c r="M55" s="11"/>
    </row>
    <row r="56" spans="1:13" ht="15" customHeight="1">
      <c r="A56" s="27"/>
      <c r="B56" s="11"/>
      <c r="C56" s="11"/>
      <c r="D56" s="11"/>
      <c r="E56" s="11"/>
      <c r="F56" s="27"/>
      <c r="G56" s="11"/>
      <c r="H56" s="11"/>
      <c r="I56" s="11"/>
      <c r="J56" s="11"/>
      <c r="K56" s="27"/>
      <c r="L56" s="11"/>
      <c r="M56" s="11"/>
    </row>
    <row r="57" spans="1:13" ht="15" customHeight="1">
      <c r="A57" s="27"/>
      <c r="B57" s="11"/>
      <c r="C57" s="11"/>
      <c r="D57" s="11"/>
      <c r="E57" s="11"/>
      <c r="F57" s="27"/>
      <c r="G57" s="11"/>
      <c r="H57" s="11"/>
      <c r="I57" s="11"/>
      <c r="J57" s="11"/>
      <c r="K57" s="27"/>
      <c r="L57" s="11"/>
      <c r="M57" s="11"/>
    </row>
    <row r="58" spans="1:13" ht="15" customHeight="1">
      <c r="A58" s="27"/>
      <c r="B58" s="11"/>
      <c r="C58" s="11"/>
      <c r="D58" s="11"/>
      <c r="E58" s="11"/>
      <c r="F58" s="27"/>
      <c r="G58" s="11"/>
      <c r="H58" s="11"/>
      <c r="I58" s="11"/>
      <c r="J58" s="11"/>
      <c r="K58" s="27"/>
      <c r="L58" s="11"/>
      <c r="M58" s="11"/>
    </row>
    <row r="59" spans="1:13" ht="15" customHeight="1">
      <c r="A59" s="27"/>
      <c r="B59" s="11"/>
      <c r="C59" s="11"/>
      <c r="D59" s="11"/>
      <c r="E59" s="11"/>
      <c r="F59" s="27"/>
      <c r="G59" s="11"/>
      <c r="H59" s="11"/>
      <c r="I59" s="11"/>
      <c r="J59" s="11"/>
      <c r="K59" s="27"/>
      <c r="L59" s="11"/>
      <c r="M59" s="11"/>
    </row>
    <row r="60" spans="1:13" ht="15" customHeight="1">
      <c r="A60" s="27"/>
      <c r="B60" s="11"/>
      <c r="C60" s="11"/>
      <c r="D60" s="11"/>
      <c r="E60" s="11"/>
      <c r="F60" s="27"/>
      <c r="G60" s="11"/>
      <c r="H60" s="11"/>
      <c r="I60" s="11"/>
      <c r="J60" s="11"/>
      <c r="K60" s="27"/>
      <c r="L60" s="11"/>
      <c r="M60" s="11"/>
    </row>
    <row r="61" spans="1:13" ht="15" customHeight="1">
      <c r="A61" s="27"/>
      <c r="B61" s="11"/>
      <c r="C61" s="11"/>
      <c r="D61" s="11"/>
      <c r="E61" s="11"/>
      <c r="F61" s="27"/>
      <c r="G61" s="11"/>
      <c r="H61" s="11"/>
      <c r="I61" s="11"/>
      <c r="J61" s="11"/>
      <c r="K61" s="27"/>
      <c r="L61" s="11"/>
      <c r="M61" s="11"/>
    </row>
    <row r="62" spans="1:13" ht="15" customHeight="1">
      <c r="A62" s="27"/>
      <c r="B62" s="11"/>
      <c r="C62" s="11"/>
      <c r="D62" s="11"/>
      <c r="E62" s="11"/>
      <c r="F62" s="27"/>
      <c r="G62" s="11"/>
      <c r="H62" s="11"/>
      <c r="I62" s="11"/>
      <c r="J62" s="11"/>
      <c r="K62" s="27"/>
      <c r="L62" s="11"/>
      <c r="M62" s="11"/>
    </row>
    <row r="63" spans="1:13" ht="15" customHeight="1">
      <c r="A63" s="27"/>
      <c r="B63" s="11"/>
      <c r="C63" s="11"/>
      <c r="D63" s="11"/>
      <c r="E63" s="11"/>
      <c r="F63" s="27"/>
      <c r="G63" s="11"/>
      <c r="H63" s="11"/>
      <c r="I63" s="11"/>
      <c r="J63" s="11"/>
      <c r="K63" s="27"/>
      <c r="L63" s="11"/>
      <c r="M63" s="11"/>
    </row>
    <row r="64" spans="1:13" ht="15" customHeight="1">
      <c r="A64" s="27"/>
      <c r="B64" s="11"/>
      <c r="C64" s="11"/>
      <c r="D64" s="11"/>
      <c r="E64" s="11"/>
      <c r="F64" s="27"/>
      <c r="G64" s="11"/>
      <c r="H64" s="11"/>
      <c r="I64" s="11"/>
      <c r="J64" s="11"/>
      <c r="K64" s="27"/>
      <c r="L64" s="11"/>
      <c r="M64" s="11"/>
    </row>
    <row r="65" spans="1:13" ht="15" customHeight="1">
      <c r="A65" s="27"/>
      <c r="B65" s="11"/>
      <c r="C65" s="11"/>
      <c r="D65" s="11"/>
      <c r="E65" s="11"/>
      <c r="F65" s="27"/>
      <c r="G65" s="11"/>
      <c r="H65" s="11"/>
      <c r="I65" s="11"/>
      <c r="J65" s="11"/>
      <c r="K65" s="27"/>
      <c r="L65" s="11"/>
      <c r="M65" s="11"/>
    </row>
    <row r="66" spans="1:13" ht="15" customHeight="1">
      <c r="A66" s="27"/>
      <c r="B66" s="11"/>
      <c r="C66" s="11"/>
      <c r="D66" s="11"/>
      <c r="E66" s="11"/>
      <c r="F66" s="27"/>
      <c r="G66" s="11"/>
      <c r="H66" s="11"/>
      <c r="I66" s="11"/>
      <c r="J66" s="11"/>
      <c r="K66" s="27"/>
      <c r="L66" s="11"/>
      <c r="M66" s="11"/>
    </row>
    <row r="67" spans="1:13" ht="15" customHeight="1">
      <c r="A67" s="27"/>
      <c r="B67" s="11"/>
      <c r="C67" s="11"/>
      <c r="D67" s="11"/>
      <c r="E67" s="11"/>
      <c r="F67" s="27"/>
      <c r="G67" s="11"/>
      <c r="H67" s="11"/>
      <c r="I67" s="11"/>
      <c r="J67" s="11"/>
      <c r="K67" s="27"/>
      <c r="L67" s="11"/>
      <c r="M67" s="11"/>
    </row>
    <row r="68" spans="1:13" ht="15" customHeight="1">
      <c r="A68" s="27"/>
      <c r="B68" s="11"/>
      <c r="C68" s="11"/>
      <c r="D68" s="11"/>
      <c r="E68" s="11"/>
      <c r="F68" s="27"/>
      <c r="G68" s="11"/>
      <c r="H68" s="11"/>
      <c r="I68" s="11"/>
      <c r="J68" s="11"/>
      <c r="K68" s="27"/>
      <c r="L68" s="11"/>
      <c r="M68" s="11"/>
    </row>
    <row r="69" spans="1:13" ht="15" customHeight="1">
      <c r="A69" s="27"/>
      <c r="B69" s="11"/>
      <c r="C69" s="11"/>
      <c r="D69" s="11"/>
      <c r="E69" s="11"/>
      <c r="F69" s="27"/>
      <c r="G69" s="11"/>
      <c r="H69" s="11"/>
      <c r="I69" s="11"/>
      <c r="J69" s="11"/>
      <c r="K69" s="27"/>
      <c r="L69" s="11"/>
      <c r="M69" s="11"/>
    </row>
    <row r="70" spans="1:13" ht="15" customHeight="1">
      <c r="A70" s="27"/>
      <c r="B70" s="11"/>
      <c r="C70" s="11"/>
      <c r="D70" s="11"/>
      <c r="E70" s="11"/>
      <c r="F70" s="27"/>
      <c r="G70" s="11"/>
      <c r="H70" s="11"/>
      <c r="I70" s="11"/>
      <c r="J70" s="11"/>
      <c r="K70" s="27"/>
      <c r="L70" s="11"/>
      <c r="M70" s="11"/>
    </row>
    <row r="71" spans="1:13" ht="15" customHeight="1">
      <c r="A71" s="27"/>
      <c r="B71" s="11"/>
      <c r="C71" s="11"/>
      <c r="D71" s="11"/>
      <c r="E71" s="11"/>
      <c r="F71" s="27"/>
      <c r="G71" s="11"/>
      <c r="H71" s="11"/>
      <c r="I71" s="11"/>
      <c r="J71" s="11"/>
      <c r="K71" s="27"/>
      <c r="L71" s="11"/>
      <c r="M71" s="11"/>
    </row>
    <row r="72" spans="1:13" ht="15" customHeight="1">
      <c r="A72" s="27"/>
      <c r="B72" s="11"/>
      <c r="C72" s="11"/>
      <c r="D72" s="11"/>
      <c r="E72" s="11"/>
      <c r="F72" s="27"/>
      <c r="G72" s="11"/>
      <c r="H72" s="11"/>
      <c r="I72" s="11"/>
      <c r="J72" s="11"/>
      <c r="K72" s="27"/>
      <c r="L72" s="11"/>
      <c r="M72" s="11"/>
    </row>
    <row r="73" spans="1:13" ht="15" customHeight="1">
      <c r="A73" s="27"/>
      <c r="B73" s="11"/>
      <c r="C73" s="11"/>
      <c r="D73" s="11"/>
      <c r="E73" s="11"/>
      <c r="F73" s="27"/>
      <c r="G73" s="11"/>
      <c r="H73" s="11"/>
      <c r="I73" s="11"/>
      <c r="J73" s="11"/>
      <c r="K73" s="27"/>
      <c r="L73" s="11"/>
      <c r="M73" s="11"/>
    </row>
    <row r="74" spans="1:13" ht="15" customHeight="1">
      <c r="A74" s="27"/>
      <c r="B74" s="11"/>
      <c r="C74" s="11"/>
      <c r="D74" s="11"/>
      <c r="E74" s="11"/>
      <c r="F74" s="27"/>
      <c r="G74" s="11"/>
      <c r="H74" s="11"/>
      <c r="I74" s="11"/>
      <c r="J74" s="11"/>
      <c r="K74" s="27"/>
      <c r="L74" s="11"/>
      <c r="M74" s="11"/>
    </row>
    <row r="75" spans="1:13" ht="15" customHeight="1">
      <c r="A75" s="27"/>
      <c r="B75" s="11"/>
      <c r="C75" s="11"/>
      <c r="D75" s="11"/>
      <c r="E75" s="11"/>
      <c r="F75" s="27"/>
      <c r="G75" s="11"/>
      <c r="H75" s="11"/>
      <c r="I75" s="11"/>
      <c r="J75" s="11"/>
      <c r="K75" s="27"/>
      <c r="L75" s="11"/>
      <c r="M75" s="11"/>
    </row>
    <row r="76" spans="1:13" ht="15" customHeight="1">
      <c r="A76" s="27"/>
      <c r="B76" s="11"/>
      <c r="C76" s="11"/>
      <c r="D76" s="11"/>
      <c r="E76" s="11"/>
      <c r="F76" s="27"/>
      <c r="G76" s="11"/>
      <c r="H76" s="11"/>
      <c r="I76" s="11"/>
      <c r="J76" s="11"/>
      <c r="K76" s="27"/>
      <c r="L76" s="11"/>
      <c r="M76" s="11"/>
    </row>
    <row r="77" spans="1:13" ht="15" customHeight="1">
      <c r="A77" s="27"/>
      <c r="B77" s="11"/>
      <c r="C77" s="11"/>
      <c r="D77" s="11"/>
      <c r="E77" s="11"/>
      <c r="F77" s="27"/>
      <c r="G77" s="11"/>
      <c r="H77" s="11"/>
      <c r="I77" s="11"/>
      <c r="J77" s="11"/>
      <c r="K77" s="27"/>
      <c r="L77" s="11"/>
      <c r="M77" s="11"/>
    </row>
    <row r="78" spans="1:13" ht="15" customHeight="1">
      <c r="A78" s="27"/>
      <c r="B78" s="11"/>
      <c r="C78" s="11"/>
      <c r="D78" s="11"/>
      <c r="E78" s="11"/>
      <c r="F78" s="27"/>
      <c r="G78" s="11"/>
      <c r="H78" s="11"/>
      <c r="I78" s="11"/>
      <c r="J78" s="11"/>
      <c r="K78" s="27"/>
      <c r="L78" s="11"/>
      <c r="M78" s="11"/>
    </row>
    <row r="79" spans="1:13" ht="15" customHeight="1">
      <c r="A79" s="27"/>
      <c r="B79" s="11"/>
      <c r="C79" s="11"/>
      <c r="D79" s="11"/>
      <c r="E79" s="11"/>
      <c r="F79" s="27"/>
      <c r="G79" s="11"/>
      <c r="H79" s="11"/>
      <c r="I79" s="11"/>
      <c r="J79" s="11"/>
      <c r="K79" s="27"/>
      <c r="L79" s="11"/>
      <c r="M79" s="11"/>
    </row>
    <row r="80" spans="1:13" ht="15" customHeight="1">
      <c r="A80" s="27"/>
      <c r="B80" s="11"/>
      <c r="C80" s="11"/>
      <c r="D80" s="11"/>
      <c r="E80" s="11"/>
      <c r="F80" s="27"/>
      <c r="G80" s="11"/>
      <c r="H80" s="11"/>
      <c r="I80" s="11"/>
      <c r="J80" s="11"/>
      <c r="K80" s="27"/>
      <c r="L80" s="11"/>
      <c r="M80" s="11"/>
    </row>
    <row r="81" spans="1:13" ht="15" customHeight="1">
      <c r="A81" s="27"/>
      <c r="B81" s="11"/>
      <c r="C81" s="11"/>
      <c r="D81" s="11"/>
      <c r="E81" s="11"/>
      <c r="F81" s="27"/>
      <c r="G81" s="11"/>
      <c r="H81" s="11"/>
      <c r="I81" s="11"/>
      <c r="J81" s="11"/>
      <c r="K81" s="27"/>
      <c r="L81" s="11"/>
      <c r="M81" s="11"/>
    </row>
    <row r="82" spans="1:13" ht="15" customHeight="1">
      <c r="A82" s="27"/>
      <c r="B82" s="11"/>
      <c r="C82" s="11"/>
      <c r="D82" s="11"/>
      <c r="E82" s="11"/>
      <c r="F82" s="27"/>
      <c r="G82" s="11"/>
      <c r="H82" s="11"/>
      <c r="I82" s="11"/>
      <c r="J82" s="11"/>
      <c r="K82" s="27"/>
      <c r="L82" s="11"/>
      <c r="M82" s="11"/>
    </row>
    <row r="83" spans="1:13" ht="15" customHeight="1">
      <c r="A83" s="27"/>
      <c r="B83" s="11"/>
      <c r="C83" s="11"/>
      <c r="D83" s="11"/>
      <c r="E83" s="11"/>
      <c r="F83" s="27"/>
      <c r="G83" s="11"/>
      <c r="H83" s="11"/>
      <c r="I83" s="11"/>
      <c r="J83" s="11"/>
      <c r="K83" s="27"/>
      <c r="L83" s="11"/>
      <c r="M83" s="11"/>
    </row>
    <row r="84" spans="1:13" ht="15" customHeight="1">
      <c r="A84" s="27"/>
      <c r="B84" s="11"/>
      <c r="C84" s="11"/>
      <c r="D84" s="11"/>
      <c r="E84" s="11"/>
      <c r="F84" s="27"/>
      <c r="G84" s="11"/>
      <c r="H84" s="11"/>
      <c r="I84" s="11"/>
      <c r="J84" s="11"/>
      <c r="K84" s="27"/>
      <c r="L84" s="11"/>
      <c r="M84" s="11"/>
    </row>
    <row r="85" spans="1:13" ht="15" customHeight="1">
      <c r="A85" s="27"/>
      <c r="B85" s="11"/>
      <c r="C85" s="11"/>
      <c r="D85" s="11"/>
      <c r="E85" s="11"/>
      <c r="F85" s="27"/>
      <c r="G85" s="11"/>
      <c r="H85" s="11"/>
      <c r="I85" s="11"/>
      <c r="J85" s="11"/>
      <c r="K85" s="27"/>
      <c r="L85" s="11"/>
      <c r="M85" s="11"/>
    </row>
    <row r="86" spans="1:13" ht="15" customHeight="1">
      <c r="A86" s="27"/>
      <c r="B86" s="11"/>
      <c r="C86" s="11"/>
      <c r="D86" s="11"/>
      <c r="E86" s="11"/>
      <c r="F86" s="27"/>
      <c r="G86" s="11"/>
      <c r="H86" s="11"/>
      <c r="I86" s="11"/>
      <c r="J86" s="11"/>
      <c r="K86" s="27"/>
      <c r="L86" s="11"/>
      <c r="M86" s="11"/>
    </row>
    <row r="87" spans="1:13" ht="15" customHeight="1">
      <c r="A87" s="27"/>
      <c r="B87" s="11"/>
      <c r="C87" s="11"/>
      <c r="D87" s="11"/>
      <c r="E87" s="11"/>
      <c r="F87" s="27"/>
      <c r="G87" s="11"/>
      <c r="H87" s="11"/>
      <c r="I87" s="11"/>
      <c r="J87" s="11"/>
      <c r="K87" s="27"/>
      <c r="L87" s="11"/>
      <c r="M87" s="11"/>
    </row>
    <row r="88" spans="1:13" ht="15" customHeight="1">
      <c r="A88" s="27"/>
      <c r="B88" s="11"/>
      <c r="C88" s="11"/>
      <c r="D88" s="11"/>
      <c r="E88" s="11"/>
      <c r="F88" s="27"/>
      <c r="G88" s="11"/>
      <c r="H88" s="11"/>
      <c r="I88" s="11"/>
      <c r="J88" s="11"/>
      <c r="K88" s="27"/>
      <c r="L88" s="11"/>
      <c r="M88" s="11"/>
    </row>
    <row r="89" spans="1:13" ht="15" customHeight="1">
      <c r="A89" s="27"/>
      <c r="B89" s="11"/>
      <c r="C89" s="11"/>
      <c r="D89" s="11"/>
      <c r="E89" s="11"/>
      <c r="F89" s="27"/>
      <c r="G89" s="11"/>
      <c r="H89" s="11"/>
      <c r="I89" s="11"/>
      <c r="J89" s="11"/>
      <c r="K89" s="27"/>
      <c r="L89" s="11"/>
      <c r="M89" s="11"/>
    </row>
    <row r="90" spans="1:13" ht="15" customHeight="1">
      <c r="A90" s="27"/>
      <c r="B90" s="11"/>
      <c r="C90" s="11"/>
      <c r="D90" s="11"/>
      <c r="E90" s="11"/>
      <c r="F90" s="27"/>
      <c r="G90" s="11"/>
      <c r="H90" s="11"/>
      <c r="I90" s="11"/>
      <c r="J90" s="11"/>
      <c r="K90" s="27"/>
      <c r="L90" s="11"/>
      <c r="M90" s="11"/>
    </row>
    <row r="91" spans="1:13" ht="15" customHeight="1">
      <c r="A91" s="27"/>
      <c r="B91" s="11"/>
      <c r="C91" s="11"/>
      <c r="D91" s="11"/>
      <c r="E91" s="11"/>
      <c r="F91" s="27"/>
      <c r="G91" s="11"/>
      <c r="H91" s="11"/>
      <c r="I91" s="11"/>
      <c r="J91" s="11"/>
      <c r="K91" s="27"/>
      <c r="L91" s="11"/>
      <c r="M91" s="11"/>
    </row>
    <row r="92" spans="1:13" ht="15" customHeight="1">
      <c r="A92" s="27"/>
      <c r="B92" s="11"/>
      <c r="C92" s="11"/>
      <c r="D92" s="11"/>
      <c r="E92" s="11"/>
      <c r="F92" s="27"/>
      <c r="G92" s="11"/>
      <c r="H92" s="11"/>
      <c r="I92" s="11"/>
      <c r="J92" s="11"/>
      <c r="K92" s="27"/>
      <c r="L92" s="11"/>
      <c r="M92" s="11"/>
    </row>
    <row r="93" spans="1:13" ht="15" customHeight="1">
      <c r="A93" s="27"/>
      <c r="B93" s="11"/>
      <c r="C93" s="11"/>
      <c r="D93" s="11"/>
      <c r="E93" s="11"/>
      <c r="F93" s="27"/>
      <c r="G93" s="11"/>
      <c r="H93" s="11"/>
      <c r="I93" s="11"/>
      <c r="J93" s="11"/>
      <c r="K93" s="27"/>
      <c r="L93" s="11"/>
      <c r="M93" s="11"/>
    </row>
    <row r="94" spans="1:13" ht="15" customHeight="1">
      <c r="A94" s="27"/>
      <c r="B94" s="11"/>
      <c r="C94" s="11"/>
      <c r="D94" s="11"/>
      <c r="E94" s="11"/>
      <c r="F94" s="27"/>
      <c r="G94" s="11"/>
      <c r="H94" s="11"/>
      <c r="I94" s="11"/>
      <c r="J94" s="11"/>
      <c r="K94" s="27"/>
      <c r="L94" s="11"/>
      <c r="M94" s="11"/>
    </row>
    <row r="95" spans="1:13" ht="15" customHeight="1">
      <c r="A95" s="27"/>
      <c r="B95" s="11"/>
      <c r="C95" s="11"/>
      <c r="D95" s="11"/>
      <c r="E95" s="11"/>
      <c r="F95" s="27"/>
      <c r="G95" s="11"/>
      <c r="H95" s="11"/>
      <c r="I95" s="11"/>
      <c r="J95" s="11"/>
      <c r="K95" s="27"/>
      <c r="L95" s="11"/>
      <c r="M95" s="11"/>
    </row>
    <row r="96" spans="1:13" ht="15" customHeight="1">
      <c r="A96" s="27"/>
      <c r="B96" s="11"/>
      <c r="C96" s="11"/>
      <c r="D96" s="11"/>
      <c r="E96" s="11"/>
      <c r="F96" s="27"/>
      <c r="G96" s="11"/>
      <c r="H96" s="11"/>
      <c r="I96" s="11"/>
      <c r="J96" s="11"/>
      <c r="K96" s="27"/>
      <c r="L96" s="11"/>
      <c r="M96" s="11"/>
    </row>
    <row r="97" spans="1:13" ht="15" customHeight="1">
      <c r="A97" s="27"/>
      <c r="B97" s="11"/>
      <c r="C97" s="11"/>
      <c r="D97" s="11"/>
      <c r="E97" s="11"/>
      <c r="F97" s="27"/>
      <c r="G97" s="11"/>
      <c r="H97" s="11"/>
      <c r="I97" s="11"/>
      <c r="J97" s="11"/>
      <c r="K97" s="27"/>
      <c r="L97" s="11"/>
      <c r="M97" s="11"/>
    </row>
    <row r="98" spans="1:13" ht="15" customHeight="1">
      <c r="A98" s="27"/>
      <c r="B98" s="11"/>
      <c r="C98" s="11"/>
      <c r="D98" s="11"/>
      <c r="E98" s="11"/>
      <c r="F98" s="27"/>
      <c r="G98" s="11"/>
      <c r="H98" s="11"/>
      <c r="I98" s="11"/>
      <c r="J98" s="11"/>
      <c r="K98" s="27"/>
      <c r="L98" s="11"/>
      <c r="M98" s="11"/>
    </row>
    <row r="99" spans="1:13" ht="15" customHeight="1">
      <c r="A99" s="27"/>
      <c r="B99" s="11"/>
      <c r="C99" s="11"/>
      <c r="D99" s="11"/>
      <c r="E99" s="11"/>
      <c r="F99" s="27"/>
      <c r="G99" s="11"/>
      <c r="H99" s="11"/>
      <c r="I99" s="11"/>
      <c r="J99" s="11"/>
      <c r="K99" s="27"/>
      <c r="L99" s="11"/>
      <c r="M99" s="11"/>
    </row>
    <row r="100" spans="1:13" ht="15" customHeight="1">
      <c r="A100" s="27"/>
      <c r="B100" s="11"/>
      <c r="C100" s="11"/>
      <c r="D100" s="11"/>
      <c r="E100" s="11"/>
      <c r="F100" s="27"/>
      <c r="G100" s="11"/>
      <c r="H100" s="11"/>
      <c r="I100" s="11"/>
      <c r="J100" s="11"/>
      <c r="K100" s="27"/>
      <c r="L100" s="11"/>
      <c r="M100" s="11"/>
    </row>
    <row r="101" spans="1:13" ht="15" customHeight="1">
      <c r="A101" s="27"/>
      <c r="B101" s="11"/>
      <c r="C101" s="11"/>
      <c r="D101" s="11"/>
      <c r="E101" s="11"/>
      <c r="F101" s="27"/>
      <c r="G101" s="11"/>
      <c r="H101" s="11"/>
      <c r="I101" s="11"/>
      <c r="J101" s="11"/>
      <c r="K101" s="27"/>
      <c r="L101" s="11"/>
      <c r="M101" s="11"/>
    </row>
    <row r="102" spans="1:13" ht="15" customHeight="1">
      <c r="A102" s="27"/>
      <c r="B102" s="11"/>
      <c r="C102" s="11"/>
      <c r="D102" s="11"/>
      <c r="E102" s="11"/>
      <c r="F102" s="27"/>
      <c r="G102" s="11"/>
      <c r="H102" s="11"/>
      <c r="I102" s="11"/>
      <c r="J102" s="11"/>
      <c r="K102" s="27"/>
      <c r="L102" s="11"/>
      <c r="M102" s="11"/>
    </row>
    <row r="103" spans="1:13" ht="15" customHeight="1">
      <c r="A103" s="27"/>
      <c r="B103" s="11"/>
      <c r="C103" s="11"/>
      <c r="D103" s="11"/>
      <c r="E103" s="11"/>
      <c r="F103" s="27"/>
      <c r="G103" s="11"/>
      <c r="H103" s="11"/>
      <c r="I103" s="11"/>
      <c r="J103" s="11"/>
      <c r="K103" s="27"/>
      <c r="L103" s="11"/>
      <c r="M103" s="11"/>
    </row>
    <row r="104" spans="1:13" ht="15" customHeight="1">
      <c r="A104" s="27"/>
      <c r="B104" s="11"/>
      <c r="C104" s="11"/>
      <c r="D104" s="11"/>
      <c r="E104" s="11"/>
      <c r="F104" s="27"/>
      <c r="G104" s="11"/>
      <c r="H104" s="11"/>
      <c r="I104" s="11"/>
      <c r="J104" s="11"/>
      <c r="K104" s="27"/>
      <c r="L104" s="11"/>
      <c r="M104" s="11"/>
    </row>
    <row r="105" spans="1:13" ht="15" customHeight="1">
      <c r="A105" s="27"/>
      <c r="B105" s="11"/>
      <c r="C105" s="11"/>
      <c r="D105" s="11"/>
      <c r="E105" s="11"/>
      <c r="F105" s="27"/>
      <c r="G105" s="11"/>
      <c r="H105" s="11"/>
      <c r="I105" s="11"/>
      <c r="J105" s="11"/>
      <c r="K105" s="27"/>
      <c r="L105" s="11"/>
      <c r="M105" s="11"/>
    </row>
    <row r="106" spans="1:13" ht="15" customHeight="1">
      <c r="A106" s="27"/>
      <c r="B106" s="11"/>
      <c r="C106" s="11"/>
      <c r="D106" s="11"/>
      <c r="E106" s="11"/>
      <c r="F106" s="27"/>
      <c r="G106" s="11"/>
      <c r="H106" s="11"/>
      <c r="I106" s="11"/>
      <c r="J106" s="11"/>
      <c r="K106" s="27"/>
      <c r="L106" s="11"/>
      <c r="M106" s="11"/>
    </row>
    <row r="107" spans="1:13" ht="15" customHeight="1">
      <c r="A107" s="27"/>
      <c r="B107" s="11"/>
      <c r="C107" s="11"/>
      <c r="D107" s="11"/>
      <c r="E107" s="11"/>
      <c r="F107" s="27"/>
      <c r="G107" s="11"/>
      <c r="H107" s="11"/>
      <c r="I107" s="11"/>
      <c r="J107" s="11"/>
      <c r="K107" s="27"/>
      <c r="L107" s="11"/>
      <c r="M107" s="11"/>
    </row>
    <row r="108" spans="1:13" ht="15" customHeight="1">
      <c r="A108" s="27"/>
      <c r="B108" s="11"/>
      <c r="C108" s="11"/>
      <c r="D108" s="11"/>
      <c r="E108" s="11"/>
      <c r="F108" s="27"/>
      <c r="G108" s="11"/>
      <c r="H108" s="11"/>
      <c r="I108" s="11"/>
      <c r="J108" s="11"/>
      <c r="K108" s="27"/>
      <c r="L108" s="11"/>
      <c r="M108" s="11"/>
    </row>
    <row r="109" spans="1:13" ht="15" customHeight="1">
      <c r="A109" s="27"/>
      <c r="B109" s="11"/>
      <c r="C109" s="11"/>
      <c r="D109" s="11"/>
      <c r="E109" s="11"/>
      <c r="F109" s="27"/>
      <c r="G109" s="11"/>
      <c r="H109" s="11"/>
      <c r="I109" s="11"/>
      <c r="J109" s="11"/>
      <c r="K109" s="27"/>
      <c r="L109" s="11"/>
      <c r="M109" s="11"/>
    </row>
    <row r="110" spans="1:13" ht="15" customHeight="1">
      <c r="A110" s="27"/>
      <c r="B110" s="11"/>
      <c r="C110" s="11"/>
      <c r="D110" s="11"/>
      <c r="E110" s="11"/>
      <c r="F110" s="27"/>
      <c r="G110" s="11"/>
      <c r="H110" s="11"/>
      <c r="I110" s="11"/>
      <c r="J110" s="11"/>
      <c r="K110" s="27"/>
      <c r="L110" s="11"/>
      <c r="M110" s="11"/>
    </row>
    <row r="111" spans="1:13" ht="15" customHeight="1">
      <c r="A111" s="27"/>
      <c r="B111" s="11"/>
      <c r="C111" s="11"/>
      <c r="D111" s="11"/>
      <c r="E111" s="11"/>
      <c r="F111" s="27"/>
      <c r="G111" s="11"/>
      <c r="H111" s="11"/>
      <c r="I111" s="11"/>
      <c r="J111" s="11"/>
      <c r="K111" s="27"/>
      <c r="L111" s="11"/>
      <c r="M111" s="11"/>
    </row>
    <row r="112" spans="1:13" ht="15" customHeight="1">
      <c r="A112" s="27"/>
      <c r="B112" s="11"/>
      <c r="C112" s="11"/>
      <c r="D112" s="11"/>
      <c r="E112" s="11"/>
      <c r="F112" s="27"/>
      <c r="G112" s="11"/>
      <c r="H112" s="11"/>
      <c r="I112" s="11"/>
      <c r="J112" s="11"/>
      <c r="K112" s="27"/>
      <c r="L112" s="11"/>
      <c r="M112" s="11"/>
    </row>
    <row r="113" spans="1:13" ht="15" customHeight="1">
      <c r="A113" s="27"/>
      <c r="B113" s="11"/>
      <c r="C113" s="11"/>
      <c r="D113" s="11"/>
      <c r="E113" s="11"/>
      <c r="F113" s="27"/>
      <c r="G113" s="11"/>
      <c r="H113" s="11"/>
      <c r="I113" s="11"/>
      <c r="J113" s="11"/>
      <c r="K113" s="27"/>
      <c r="L113" s="11"/>
      <c r="M113" s="11"/>
    </row>
    <row r="114" spans="1:13" ht="15" customHeight="1">
      <c r="A114" s="27"/>
      <c r="B114" s="11"/>
      <c r="C114" s="11"/>
      <c r="D114" s="11"/>
      <c r="E114" s="11"/>
      <c r="F114" s="27"/>
      <c r="G114" s="11"/>
      <c r="H114" s="11"/>
      <c r="I114" s="11"/>
      <c r="J114" s="11"/>
      <c r="K114" s="27"/>
      <c r="L114" s="11"/>
      <c r="M114" s="11"/>
    </row>
    <row r="115" spans="1:13" ht="15" customHeight="1">
      <c r="A115" s="27"/>
      <c r="B115" s="11"/>
      <c r="C115" s="11"/>
      <c r="D115" s="11"/>
      <c r="E115" s="11"/>
      <c r="F115" s="27"/>
      <c r="G115" s="11"/>
      <c r="H115" s="11"/>
      <c r="I115" s="11"/>
      <c r="J115" s="11"/>
      <c r="K115" s="27"/>
      <c r="L115" s="11"/>
      <c r="M115" s="11"/>
    </row>
    <row r="116" spans="1:13" ht="15" customHeight="1">
      <c r="A116" s="27"/>
      <c r="B116" s="11"/>
      <c r="C116" s="11"/>
      <c r="D116" s="11"/>
      <c r="E116" s="11"/>
      <c r="F116" s="27"/>
      <c r="G116" s="11"/>
      <c r="H116" s="11"/>
      <c r="I116" s="11"/>
      <c r="J116" s="11"/>
      <c r="K116" s="27"/>
      <c r="L116" s="11"/>
      <c r="M116" s="11"/>
    </row>
    <row r="117" spans="1:13" ht="15" customHeight="1">
      <c r="A117" s="27"/>
      <c r="B117" s="11"/>
      <c r="C117" s="11"/>
      <c r="D117" s="11"/>
      <c r="E117" s="11"/>
      <c r="F117" s="27"/>
      <c r="G117" s="11"/>
      <c r="H117" s="11"/>
      <c r="I117" s="11"/>
      <c r="J117" s="11"/>
      <c r="K117" s="27"/>
      <c r="L117" s="11"/>
      <c r="M117" s="11"/>
    </row>
    <row r="118" spans="1:13" ht="15" customHeight="1">
      <c r="A118" s="27"/>
      <c r="B118" s="11"/>
      <c r="C118" s="11"/>
      <c r="D118" s="11"/>
      <c r="E118" s="11"/>
      <c r="F118" s="27"/>
      <c r="G118" s="11"/>
      <c r="H118" s="11"/>
      <c r="I118" s="11"/>
      <c r="J118" s="11"/>
      <c r="K118" s="27"/>
      <c r="L118" s="11"/>
      <c r="M118" s="11"/>
    </row>
    <row r="119" spans="1:13" ht="15" customHeight="1">
      <c r="A119" s="27"/>
      <c r="B119" s="11"/>
      <c r="C119" s="11"/>
      <c r="D119" s="11"/>
      <c r="E119" s="11"/>
      <c r="F119" s="27"/>
      <c r="G119" s="11"/>
      <c r="H119" s="11"/>
      <c r="I119" s="11"/>
      <c r="J119" s="11"/>
      <c r="K119" s="27"/>
      <c r="L119" s="11"/>
      <c r="M119" s="11"/>
    </row>
    <row r="120" spans="1:13" ht="15" customHeight="1">
      <c r="A120" s="27"/>
      <c r="B120" s="11"/>
      <c r="C120" s="11"/>
      <c r="D120" s="11"/>
      <c r="E120" s="11"/>
      <c r="F120" s="27"/>
      <c r="G120" s="11"/>
      <c r="H120" s="11"/>
      <c r="I120" s="11"/>
      <c r="J120" s="11"/>
      <c r="K120" s="27"/>
      <c r="L120" s="11"/>
      <c r="M120" s="11"/>
    </row>
    <row r="121" spans="1:13" ht="15" customHeight="1">
      <c r="A121" s="27"/>
      <c r="B121" s="11"/>
      <c r="C121" s="11"/>
      <c r="D121" s="11"/>
      <c r="E121" s="11"/>
      <c r="F121" s="27"/>
      <c r="G121" s="11"/>
      <c r="H121" s="11"/>
      <c r="I121" s="11"/>
      <c r="J121" s="11"/>
      <c r="K121" s="27"/>
      <c r="L121" s="11"/>
      <c r="M121" s="11"/>
    </row>
    <row r="122" spans="1:13" ht="15" customHeight="1">
      <c r="A122" s="27"/>
      <c r="B122" s="11"/>
      <c r="C122" s="11"/>
      <c r="D122" s="11"/>
      <c r="E122" s="11"/>
      <c r="F122" s="27"/>
      <c r="G122" s="11"/>
      <c r="H122" s="11"/>
      <c r="I122" s="11"/>
      <c r="J122" s="11"/>
      <c r="K122" s="27"/>
      <c r="L122" s="11"/>
      <c r="M122" s="11"/>
    </row>
    <row r="123" spans="1:13" ht="15" customHeight="1">
      <c r="A123" s="27"/>
      <c r="B123" s="11"/>
      <c r="C123" s="11"/>
      <c r="D123" s="11"/>
      <c r="E123" s="11"/>
      <c r="F123" s="27"/>
      <c r="G123" s="11"/>
      <c r="H123" s="11"/>
      <c r="I123" s="11"/>
      <c r="J123" s="11"/>
      <c r="K123" s="27"/>
      <c r="L123" s="11"/>
      <c r="M123" s="11"/>
    </row>
    <row r="124" spans="1:13" ht="15" customHeight="1">
      <c r="A124" s="27"/>
      <c r="B124" s="11"/>
      <c r="C124" s="11"/>
      <c r="D124" s="11"/>
      <c r="E124" s="11"/>
      <c r="F124" s="27"/>
      <c r="G124" s="11"/>
      <c r="H124" s="11"/>
      <c r="I124" s="11"/>
      <c r="J124" s="11"/>
      <c r="K124" s="27"/>
      <c r="L124" s="11"/>
      <c r="M124" s="11"/>
    </row>
    <row r="125" spans="1:13" ht="15" customHeight="1">
      <c r="A125" s="27"/>
      <c r="B125" s="11"/>
      <c r="C125" s="11"/>
      <c r="D125" s="11"/>
      <c r="E125" s="11"/>
      <c r="F125" s="27"/>
      <c r="G125" s="11"/>
      <c r="H125" s="11"/>
      <c r="I125" s="11"/>
      <c r="J125" s="11"/>
      <c r="K125" s="27"/>
      <c r="L125" s="11"/>
      <c r="M125" s="11"/>
    </row>
    <row r="126" spans="1:13" ht="15" customHeight="1">
      <c r="A126" s="27"/>
      <c r="B126" s="11"/>
      <c r="C126" s="11"/>
      <c r="D126" s="11"/>
      <c r="E126" s="11"/>
      <c r="F126" s="27"/>
      <c r="G126" s="11"/>
      <c r="H126" s="11"/>
      <c r="I126" s="11"/>
      <c r="J126" s="11"/>
      <c r="K126" s="27"/>
      <c r="L126" s="11"/>
      <c r="M126" s="11"/>
    </row>
    <row r="127" spans="1:13" ht="15" customHeight="1">
      <c r="A127" s="27"/>
      <c r="B127" s="11"/>
      <c r="C127" s="11"/>
      <c r="D127" s="11"/>
      <c r="E127" s="11"/>
      <c r="F127" s="27"/>
      <c r="G127" s="11"/>
      <c r="H127" s="11"/>
      <c r="I127" s="11"/>
      <c r="J127" s="11"/>
      <c r="K127" s="27"/>
      <c r="L127" s="11"/>
      <c r="M127" s="11"/>
    </row>
    <row r="128" spans="1:13" ht="15" customHeight="1">
      <c r="A128" s="27"/>
      <c r="B128" s="11"/>
      <c r="C128" s="11"/>
      <c r="D128" s="11"/>
      <c r="E128" s="11"/>
      <c r="F128" s="27"/>
      <c r="G128" s="11"/>
      <c r="H128" s="11"/>
      <c r="I128" s="11"/>
      <c r="J128" s="11"/>
      <c r="K128" s="27"/>
      <c r="L128" s="11"/>
      <c r="M128" s="11"/>
    </row>
    <row r="129" spans="1:13" ht="15" customHeight="1">
      <c r="A129" s="27"/>
      <c r="B129" s="11"/>
      <c r="C129" s="11"/>
      <c r="D129" s="11"/>
      <c r="E129" s="11"/>
      <c r="F129" s="27"/>
      <c r="G129" s="11"/>
      <c r="H129" s="11"/>
      <c r="I129" s="11"/>
      <c r="J129" s="11"/>
      <c r="K129" s="27"/>
      <c r="L129" s="11"/>
      <c r="M129" s="11"/>
    </row>
    <row r="130" spans="1:13" ht="15" customHeight="1">
      <c r="A130" s="27"/>
      <c r="B130" s="11"/>
      <c r="C130" s="11"/>
      <c r="D130" s="11"/>
      <c r="E130" s="11"/>
      <c r="F130" s="27"/>
      <c r="G130" s="11"/>
      <c r="H130" s="11"/>
      <c r="I130" s="11"/>
      <c r="J130" s="11"/>
      <c r="K130" s="27"/>
      <c r="L130" s="11"/>
      <c r="M130" s="11"/>
    </row>
    <row r="131" spans="1:13" ht="15" customHeight="1">
      <c r="A131" s="27"/>
      <c r="B131" s="11"/>
      <c r="C131" s="11"/>
      <c r="D131" s="11"/>
      <c r="E131" s="11"/>
      <c r="F131" s="27"/>
      <c r="G131" s="11"/>
      <c r="H131" s="11"/>
      <c r="I131" s="11"/>
      <c r="J131" s="11"/>
      <c r="K131" s="27"/>
      <c r="L131" s="11"/>
      <c r="M131" s="11"/>
    </row>
    <row r="132" spans="1:13" ht="15" customHeight="1">
      <c r="A132" s="27"/>
      <c r="B132" s="11"/>
      <c r="C132" s="11"/>
      <c r="D132" s="11"/>
      <c r="E132" s="11"/>
      <c r="F132" s="27"/>
      <c r="G132" s="11"/>
      <c r="H132" s="11"/>
      <c r="I132" s="11"/>
      <c r="J132" s="11"/>
      <c r="K132" s="27"/>
      <c r="L132" s="11"/>
      <c r="M132" s="11"/>
    </row>
    <row r="133" spans="1:13" ht="15" customHeight="1">
      <c r="A133" s="27"/>
      <c r="B133" s="11"/>
      <c r="C133" s="11"/>
      <c r="D133" s="11"/>
      <c r="E133" s="11"/>
      <c r="F133" s="27"/>
      <c r="G133" s="11"/>
      <c r="H133" s="11"/>
      <c r="I133" s="11"/>
      <c r="J133" s="11"/>
      <c r="K133" s="27"/>
      <c r="L133" s="11"/>
      <c r="M133" s="11"/>
    </row>
    <row r="134" spans="1:13" ht="15" customHeight="1">
      <c r="A134" s="27"/>
      <c r="B134" s="11"/>
      <c r="C134" s="11"/>
      <c r="D134" s="11"/>
      <c r="E134" s="11"/>
      <c r="F134" s="27"/>
      <c r="G134" s="11"/>
      <c r="H134" s="11"/>
      <c r="I134" s="11"/>
      <c r="J134" s="11"/>
      <c r="K134" s="27"/>
      <c r="L134" s="11"/>
      <c r="M134" s="11"/>
    </row>
    <row r="135" spans="1:13" ht="15" customHeight="1">
      <c r="A135" s="27"/>
      <c r="B135" s="11"/>
      <c r="C135" s="11"/>
      <c r="D135" s="11"/>
      <c r="E135" s="11"/>
      <c r="F135" s="27"/>
      <c r="G135" s="11"/>
      <c r="H135" s="11"/>
      <c r="I135" s="11"/>
      <c r="J135" s="11"/>
      <c r="K135" s="27"/>
      <c r="L135" s="11"/>
      <c r="M135" s="11"/>
    </row>
    <row r="136" spans="1:13" ht="15" customHeight="1">
      <c r="A136" s="27"/>
      <c r="B136" s="11"/>
      <c r="C136" s="11"/>
      <c r="D136" s="11"/>
      <c r="E136" s="11"/>
      <c r="F136" s="27"/>
      <c r="G136" s="11"/>
      <c r="H136" s="11"/>
      <c r="I136" s="11"/>
      <c r="J136" s="11"/>
      <c r="K136" s="27"/>
      <c r="L136" s="11"/>
      <c r="M136" s="11"/>
    </row>
    <row r="137" spans="1:13" ht="15" customHeight="1">
      <c r="A137" s="27"/>
      <c r="B137" s="11"/>
      <c r="C137" s="11"/>
      <c r="D137" s="11"/>
      <c r="E137" s="11"/>
      <c r="F137" s="27"/>
      <c r="G137" s="11"/>
      <c r="H137" s="11"/>
      <c r="I137" s="11"/>
      <c r="J137" s="11"/>
      <c r="K137" s="27"/>
      <c r="L137" s="11"/>
      <c r="M137" s="11"/>
    </row>
    <row r="138" spans="1:13" ht="15" customHeight="1">
      <c r="A138" s="27"/>
      <c r="B138" s="11"/>
      <c r="C138" s="11"/>
      <c r="D138" s="11"/>
      <c r="E138" s="11"/>
      <c r="F138" s="27"/>
      <c r="G138" s="11"/>
      <c r="H138" s="11"/>
      <c r="I138" s="11"/>
      <c r="J138" s="11"/>
      <c r="K138" s="27"/>
      <c r="L138" s="11"/>
      <c r="M138" s="11"/>
    </row>
    <row r="139" spans="1:13" ht="15" customHeight="1">
      <c r="A139" s="27"/>
      <c r="B139" s="11"/>
      <c r="C139" s="11"/>
      <c r="D139" s="11"/>
      <c r="E139" s="11"/>
      <c r="F139" s="27"/>
      <c r="G139" s="11"/>
      <c r="H139" s="11"/>
      <c r="I139" s="11"/>
      <c r="J139" s="11"/>
      <c r="K139" s="27"/>
      <c r="L139" s="11"/>
      <c r="M139" s="11"/>
    </row>
    <row r="140" spans="1:13" ht="15" customHeight="1">
      <c r="A140" s="27"/>
      <c r="B140" s="11"/>
      <c r="C140" s="11"/>
      <c r="D140" s="11"/>
      <c r="E140" s="11"/>
      <c r="F140" s="27"/>
      <c r="G140" s="11"/>
      <c r="H140" s="11"/>
      <c r="I140" s="11"/>
      <c r="J140" s="11"/>
      <c r="K140" s="27"/>
      <c r="L140" s="11"/>
      <c r="M140" s="11"/>
    </row>
    <row r="141" spans="1:13" ht="15" customHeight="1">
      <c r="A141" s="27"/>
      <c r="B141" s="11"/>
      <c r="C141" s="11"/>
      <c r="D141" s="11"/>
      <c r="E141" s="11"/>
      <c r="F141" s="27"/>
      <c r="G141" s="11"/>
      <c r="H141" s="11"/>
      <c r="I141" s="11"/>
      <c r="J141" s="11"/>
      <c r="K141" s="27"/>
      <c r="L141" s="11"/>
      <c r="M141" s="11"/>
    </row>
    <row r="142" spans="1:13" ht="15" customHeight="1">
      <c r="A142" s="27"/>
      <c r="B142" s="11"/>
      <c r="C142" s="11"/>
      <c r="D142" s="11"/>
      <c r="E142" s="11"/>
      <c r="F142" s="27"/>
      <c r="G142" s="11"/>
      <c r="H142" s="11"/>
      <c r="I142" s="11"/>
      <c r="J142" s="11"/>
      <c r="K142" s="27"/>
      <c r="L142" s="11"/>
      <c r="M142" s="11"/>
    </row>
    <row r="143" spans="1:13" ht="15" customHeight="1">
      <c r="A143" s="27"/>
      <c r="B143" s="11"/>
      <c r="C143" s="11"/>
      <c r="D143" s="11"/>
      <c r="E143" s="11"/>
      <c r="F143" s="27"/>
      <c r="G143" s="11"/>
      <c r="H143" s="11"/>
      <c r="I143" s="11"/>
      <c r="J143" s="11"/>
      <c r="K143" s="27"/>
      <c r="L143" s="11"/>
      <c r="M143" s="11"/>
    </row>
    <row r="144" spans="1:13" ht="15" customHeight="1">
      <c r="A144" s="27"/>
      <c r="B144" s="11"/>
      <c r="C144" s="11"/>
      <c r="D144" s="11"/>
      <c r="E144" s="11"/>
      <c r="F144" s="27"/>
      <c r="G144" s="11"/>
      <c r="H144" s="11"/>
      <c r="I144" s="11"/>
      <c r="J144" s="11"/>
      <c r="K144" s="27"/>
      <c r="L144" s="11"/>
      <c r="M144" s="11"/>
    </row>
    <row r="145" spans="1:13" ht="15" customHeight="1">
      <c r="A145" s="27"/>
      <c r="B145" s="11"/>
      <c r="C145" s="11"/>
      <c r="D145" s="11"/>
      <c r="E145" s="11"/>
      <c r="F145" s="27"/>
      <c r="G145" s="11"/>
      <c r="H145" s="11"/>
      <c r="I145" s="11"/>
      <c r="J145" s="11"/>
      <c r="K145" s="27"/>
      <c r="L145" s="11"/>
      <c r="M145" s="11"/>
    </row>
    <row r="146" spans="1:13" ht="15" customHeight="1">
      <c r="A146" s="27"/>
      <c r="B146" s="11"/>
      <c r="C146" s="11"/>
      <c r="D146" s="11"/>
      <c r="E146" s="11"/>
      <c r="F146" s="27"/>
      <c r="G146" s="11"/>
      <c r="H146" s="11"/>
      <c r="I146" s="11"/>
      <c r="J146" s="11"/>
      <c r="K146" s="27"/>
      <c r="L146" s="11"/>
      <c r="M146" s="11"/>
    </row>
    <row r="147" spans="1:13" ht="15" customHeight="1">
      <c r="A147" s="27"/>
      <c r="B147" s="11"/>
      <c r="C147" s="11"/>
      <c r="D147" s="11"/>
      <c r="E147" s="11"/>
      <c r="F147" s="27"/>
      <c r="G147" s="11"/>
      <c r="H147" s="11"/>
      <c r="I147" s="11"/>
      <c r="J147" s="11"/>
      <c r="K147" s="27"/>
      <c r="L147" s="11"/>
      <c r="M147" s="11"/>
    </row>
    <row r="148" spans="1:13" ht="15" customHeight="1">
      <c r="A148" s="27"/>
      <c r="B148" s="11"/>
      <c r="C148" s="11"/>
      <c r="D148" s="11"/>
      <c r="E148" s="11"/>
      <c r="F148" s="27"/>
      <c r="G148" s="11"/>
      <c r="H148" s="11"/>
      <c r="I148" s="11"/>
      <c r="J148" s="11"/>
      <c r="K148" s="27"/>
      <c r="L148" s="11"/>
      <c r="M148" s="11"/>
    </row>
    <row r="149" spans="1:13" ht="15" customHeight="1">
      <c r="A149" s="27"/>
      <c r="B149" s="11"/>
      <c r="C149" s="11"/>
      <c r="D149" s="11"/>
      <c r="E149" s="11"/>
      <c r="F149" s="27"/>
      <c r="G149" s="11"/>
      <c r="H149" s="11"/>
      <c r="I149" s="11"/>
      <c r="J149" s="11"/>
      <c r="K149" s="27"/>
      <c r="L149" s="11"/>
      <c r="M149" s="11"/>
    </row>
    <row r="150" spans="1:13" ht="15" customHeight="1">
      <c r="A150" s="27"/>
      <c r="B150" s="11"/>
      <c r="C150" s="11"/>
      <c r="D150" s="11"/>
      <c r="E150" s="11"/>
      <c r="F150" s="27"/>
      <c r="G150" s="11"/>
      <c r="H150" s="11"/>
      <c r="I150" s="11"/>
      <c r="J150" s="11"/>
      <c r="K150" s="27"/>
      <c r="L150" s="11"/>
      <c r="M150" s="11"/>
    </row>
    <row r="151" spans="1:13" ht="15" customHeight="1">
      <c r="A151" s="27"/>
      <c r="B151" s="11"/>
      <c r="C151" s="11"/>
      <c r="D151" s="11"/>
      <c r="E151" s="11"/>
      <c r="F151" s="27"/>
      <c r="G151" s="11"/>
      <c r="H151" s="11"/>
      <c r="I151" s="11"/>
      <c r="J151" s="11"/>
      <c r="K151" s="27"/>
      <c r="L151" s="11"/>
      <c r="M151" s="11"/>
    </row>
    <row r="152" spans="1:13" ht="15" customHeight="1">
      <c r="A152" s="27"/>
      <c r="B152" s="11"/>
      <c r="C152" s="11"/>
      <c r="D152" s="11"/>
      <c r="E152" s="11"/>
      <c r="F152" s="27"/>
      <c r="G152" s="11"/>
      <c r="H152" s="11"/>
      <c r="I152" s="11"/>
      <c r="J152" s="11"/>
      <c r="K152" s="27"/>
      <c r="L152" s="11"/>
      <c r="M152" s="11"/>
    </row>
    <row r="153" spans="1:13" ht="15" customHeight="1">
      <c r="A153" s="27"/>
      <c r="B153" s="11"/>
      <c r="C153" s="11"/>
      <c r="D153" s="11"/>
      <c r="E153" s="11"/>
      <c r="F153" s="27"/>
      <c r="G153" s="11"/>
      <c r="H153" s="11"/>
      <c r="I153" s="11"/>
      <c r="J153" s="11"/>
      <c r="K153" s="27"/>
      <c r="L153" s="11"/>
      <c r="M153" s="11"/>
    </row>
    <row r="154" spans="1:13" ht="15" customHeight="1">
      <c r="A154" s="27"/>
      <c r="B154" s="11"/>
      <c r="C154" s="11"/>
      <c r="D154" s="11"/>
      <c r="E154" s="11"/>
      <c r="F154" s="27"/>
      <c r="G154" s="11"/>
      <c r="H154" s="11"/>
      <c r="I154" s="11"/>
      <c r="J154" s="11"/>
      <c r="K154" s="27"/>
      <c r="L154" s="11"/>
      <c r="M154" s="11"/>
    </row>
    <row r="155" spans="1:13" ht="15" customHeight="1">
      <c r="A155" s="27"/>
      <c r="B155" s="11"/>
      <c r="C155" s="11"/>
      <c r="D155" s="11"/>
      <c r="E155" s="11"/>
      <c r="F155" s="27"/>
      <c r="G155" s="11"/>
      <c r="H155" s="11"/>
      <c r="I155" s="11"/>
      <c r="J155" s="11"/>
      <c r="K155" s="27"/>
      <c r="L155" s="11"/>
      <c r="M155" s="11"/>
    </row>
    <row r="156" spans="1:13" ht="15" customHeight="1">
      <c r="A156" s="27"/>
      <c r="B156" s="11"/>
      <c r="C156" s="11"/>
      <c r="D156" s="11"/>
      <c r="E156" s="11"/>
      <c r="F156" s="27"/>
      <c r="G156" s="11"/>
      <c r="H156" s="11"/>
      <c r="I156" s="11"/>
      <c r="J156" s="11"/>
      <c r="K156" s="27"/>
      <c r="L156" s="11"/>
      <c r="M156" s="11"/>
    </row>
    <row r="157" spans="1:13" ht="15" customHeight="1">
      <c r="A157" s="27"/>
      <c r="B157" s="11"/>
      <c r="C157" s="11"/>
      <c r="D157" s="11"/>
      <c r="E157" s="11"/>
      <c r="F157" s="27"/>
      <c r="G157" s="11"/>
      <c r="H157" s="11"/>
      <c r="I157" s="11"/>
      <c r="J157" s="11"/>
      <c r="K157" s="27"/>
      <c r="L157" s="11"/>
      <c r="M157" s="11"/>
    </row>
    <row r="158" spans="1:13" ht="15" customHeight="1">
      <c r="A158" s="27"/>
      <c r="B158" s="11"/>
      <c r="C158" s="11"/>
      <c r="D158" s="11"/>
      <c r="E158" s="11"/>
      <c r="F158" s="27"/>
      <c r="G158" s="11"/>
      <c r="H158" s="11"/>
      <c r="I158" s="11"/>
      <c r="J158" s="11"/>
      <c r="K158" s="27"/>
      <c r="L158" s="11"/>
      <c r="M158" s="11"/>
    </row>
    <row r="159" spans="1:13" ht="15" customHeight="1">
      <c r="A159" s="27"/>
      <c r="B159" s="11"/>
      <c r="C159" s="11"/>
      <c r="D159" s="11"/>
      <c r="E159" s="11"/>
      <c r="F159" s="27"/>
      <c r="G159" s="11"/>
      <c r="H159" s="11"/>
      <c r="I159" s="11"/>
      <c r="J159" s="11"/>
      <c r="K159" s="27"/>
      <c r="L159" s="11"/>
      <c r="M159" s="11"/>
    </row>
    <row r="160" spans="1:13" ht="15" customHeight="1">
      <c r="A160" s="27"/>
      <c r="B160" s="11"/>
      <c r="C160" s="11"/>
      <c r="D160" s="11"/>
      <c r="E160" s="11"/>
      <c r="F160" s="27"/>
      <c r="G160" s="11"/>
      <c r="H160" s="11"/>
      <c r="I160" s="11"/>
      <c r="J160" s="11"/>
      <c r="K160" s="27"/>
      <c r="L160" s="11"/>
      <c r="M160" s="11"/>
    </row>
    <row r="161" spans="1:13" ht="15" customHeight="1">
      <c r="A161" s="27"/>
      <c r="B161" s="11"/>
      <c r="C161" s="11"/>
      <c r="D161" s="11"/>
      <c r="E161" s="11"/>
      <c r="F161" s="27"/>
      <c r="G161" s="11"/>
      <c r="H161" s="11"/>
      <c r="I161" s="11"/>
      <c r="J161" s="11"/>
      <c r="K161" s="27"/>
      <c r="L161" s="11"/>
      <c r="M161" s="11"/>
    </row>
    <row r="162" spans="1:13" ht="15" customHeight="1">
      <c r="A162" s="27"/>
      <c r="B162" s="11"/>
      <c r="C162" s="11"/>
      <c r="D162" s="11"/>
      <c r="E162" s="11"/>
      <c r="F162" s="27"/>
      <c r="G162" s="11"/>
      <c r="H162" s="11"/>
      <c r="I162" s="11"/>
      <c r="J162" s="11"/>
      <c r="K162" s="27"/>
      <c r="L162" s="11"/>
      <c r="M162" s="11"/>
    </row>
    <row r="163" spans="1:13" ht="15" customHeight="1">
      <c r="A163" s="27"/>
      <c r="B163" s="11"/>
      <c r="C163" s="11"/>
      <c r="D163" s="11"/>
      <c r="E163" s="11"/>
      <c r="F163" s="27"/>
      <c r="G163" s="11"/>
      <c r="H163" s="11"/>
      <c r="I163" s="11"/>
      <c r="J163" s="11"/>
      <c r="K163" s="27"/>
      <c r="L163" s="11"/>
      <c r="M163" s="11"/>
    </row>
    <row r="164" spans="1:13" ht="15" customHeight="1">
      <c r="A164" s="27"/>
      <c r="B164" s="11"/>
      <c r="C164" s="11"/>
      <c r="D164" s="11"/>
      <c r="E164" s="11"/>
      <c r="F164" s="27"/>
      <c r="G164" s="11"/>
      <c r="H164" s="11"/>
      <c r="I164" s="11"/>
      <c r="J164" s="11"/>
      <c r="K164" s="27"/>
      <c r="L164" s="11"/>
      <c r="M164" s="11"/>
    </row>
    <row r="165" spans="1:13" ht="15" customHeight="1">
      <c r="A165" s="27"/>
      <c r="B165" s="11"/>
      <c r="C165" s="11"/>
      <c r="D165" s="11"/>
      <c r="E165" s="11"/>
      <c r="F165" s="27"/>
      <c r="G165" s="11"/>
      <c r="H165" s="11"/>
      <c r="I165" s="11"/>
      <c r="J165" s="11"/>
      <c r="K165" s="27"/>
      <c r="L165" s="11"/>
      <c r="M165" s="11"/>
    </row>
    <row r="166" spans="1:13" ht="15" customHeight="1">
      <c r="A166" s="27"/>
      <c r="B166" s="11"/>
      <c r="C166" s="11"/>
      <c r="D166" s="11"/>
      <c r="E166" s="11"/>
      <c r="F166" s="27"/>
      <c r="G166" s="11"/>
      <c r="H166" s="11"/>
      <c r="I166" s="11"/>
      <c r="J166" s="11"/>
      <c r="K166" s="27"/>
      <c r="L166" s="11"/>
      <c r="M166" s="11"/>
    </row>
    <row r="167" spans="1:13" ht="15" customHeight="1">
      <c r="A167" s="27"/>
      <c r="B167" s="11"/>
      <c r="C167" s="11"/>
      <c r="D167" s="11"/>
      <c r="E167" s="11"/>
      <c r="F167" s="27"/>
      <c r="G167" s="11"/>
      <c r="H167" s="11"/>
      <c r="I167" s="11"/>
      <c r="J167" s="11"/>
      <c r="K167" s="27"/>
      <c r="L167" s="11"/>
      <c r="M167" s="11"/>
    </row>
    <row r="168" spans="1:13" ht="15" customHeight="1">
      <c r="A168" s="27"/>
      <c r="B168" s="11"/>
      <c r="C168" s="11"/>
      <c r="D168" s="11"/>
      <c r="E168" s="11"/>
      <c r="F168" s="27"/>
      <c r="G168" s="11"/>
      <c r="H168" s="11"/>
      <c r="I168" s="11"/>
      <c r="J168" s="11"/>
      <c r="K168" s="27"/>
      <c r="L168" s="11"/>
      <c r="M168" s="11"/>
    </row>
    <row r="169" spans="1:13" ht="15" customHeight="1">
      <c r="A169" s="27"/>
      <c r="B169" s="11"/>
      <c r="C169" s="11"/>
      <c r="D169" s="11"/>
      <c r="E169" s="11"/>
      <c r="F169" s="27"/>
      <c r="G169" s="11"/>
      <c r="H169" s="11"/>
      <c r="I169" s="11"/>
      <c r="J169" s="11"/>
      <c r="K169" s="27"/>
      <c r="L169" s="11"/>
      <c r="M169" s="11"/>
    </row>
    <row r="170" spans="1:13" ht="15" customHeight="1">
      <c r="A170" s="27"/>
      <c r="B170" s="11"/>
      <c r="C170" s="11"/>
      <c r="D170" s="11"/>
      <c r="E170" s="11"/>
      <c r="F170" s="27"/>
      <c r="G170" s="11"/>
      <c r="H170" s="11"/>
      <c r="I170" s="11"/>
      <c r="J170" s="11"/>
      <c r="K170" s="27"/>
      <c r="L170" s="11"/>
      <c r="M170" s="11"/>
    </row>
    <row r="171" spans="1:13" ht="15" customHeight="1">
      <c r="A171" s="27"/>
      <c r="B171" s="11"/>
      <c r="C171" s="11"/>
      <c r="D171" s="11"/>
      <c r="E171" s="11"/>
      <c r="F171" s="27"/>
      <c r="G171" s="11"/>
      <c r="H171" s="11"/>
      <c r="I171" s="11"/>
      <c r="J171" s="11"/>
      <c r="K171" s="27"/>
      <c r="L171" s="11"/>
      <c r="M171" s="11"/>
    </row>
    <row r="172" spans="1:13" ht="15" customHeight="1">
      <c r="A172" s="27"/>
      <c r="B172" s="11"/>
      <c r="C172" s="11"/>
      <c r="D172" s="11"/>
      <c r="E172" s="11"/>
      <c r="F172" s="27"/>
      <c r="G172" s="11"/>
      <c r="H172" s="11"/>
      <c r="I172" s="11"/>
      <c r="J172" s="11"/>
      <c r="K172" s="27"/>
      <c r="L172" s="11"/>
      <c r="M172" s="11"/>
    </row>
    <row r="173" spans="1:13" ht="15" customHeight="1">
      <c r="A173" s="27"/>
      <c r="B173" s="11"/>
      <c r="C173" s="11"/>
      <c r="D173" s="11"/>
      <c r="E173" s="11"/>
      <c r="F173" s="27"/>
      <c r="G173" s="11"/>
      <c r="H173" s="11"/>
      <c r="I173" s="11"/>
      <c r="J173" s="11"/>
      <c r="K173" s="27"/>
      <c r="L173" s="11"/>
      <c r="M173" s="11"/>
    </row>
    <row r="174" spans="1:13" ht="15" customHeight="1">
      <c r="A174" s="27"/>
      <c r="B174" s="11"/>
      <c r="C174" s="11"/>
      <c r="D174" s="11"/>
      <c r="E174" s="11"/>
      <c r="F174" s="27"/>
      <c r="G174" s="11"/>
      <c r="H174" s="11"/>
      <c r="I174" s="11"/>
      <c r="J174" s="11"/>
      <c r="K174" s="27"/>
      <c r="L174" s="11"/>
      <c r="M174" s="11"/>
    </row>
    <row r="175" spans="1:13" ht="15" customHeight="1">
      <c r="A175" s="27"/>
      <c r="B175" s="11"/>
      <c r="C175" s="11"/>
      <c r="D175" s="11"/>
      <c r="E175" s="11"/>
      <c r="F175" s="27"/>
      <c r="G175" s="11"/>
      <c r="H175" s="11"/>
      <c r="I175" s="11"/>
      <c r="J175" s="11"/>
      <c r="K175" s="27"/>
      <c r="L175" s="11"/>
      <c r="M175" s="11"/>
    </row>
    <row r="176" spans="1:13" ht="15" customHeight="1">
      <c r="A176" s="27"/>
      <c r="B176" s="11"/>
      <c r="C176" s="11"/>
      <c r="D176" s="11"/>
      <c r="E176" s="11"/>
      <c r="F176" s="27"/>
      <c r="G176" s="11"/>
      <c r="H176" s="11"/>
      <c r="I176" s="11"/>
      <c r="J176" s="11"/>
      <c r="K176" s="27"/>
      <c r="L176" s="11"/>
      <c r="M176" s="11"/>
    </row>
    <row r="177" spans="1:13" ht="15" customHeight="1">
      <c r="A177" s="27"/>
      <c r="B177" s="11"/>
      <c r="C177" s="11"/>
      <c r="D177" s="11"/>
      <c r="E177" s="11"/>
      <c r="F177" s="27"/>
      <c r="G177" s="11"/>
      <c r="H177" s="11"/>
      <c r="I177" s="11"/>
      <c r="J177" s="11"/>
      <c r="K177" s="27"/>
      <c r="L177" s="11"/>
      <c r="M177" s="11"/>
    </row>
    <row r="178" spans="1:13" ht="15" customHeight="1">
      <c r="A178" s="27"/>
      <c r="B178" s="11"/>
      <c r="C178" s="11"/>
      <c r="D178" s="11"/>
      <c r="E178" s="11"/>
      <c r="F178" s="27"/>
      <c r="G178" s="11"/>
      <c r="H178" s="11"/>
      <c r="I178" s="11"/>
      <c r="J178" s="11"/>
      <c r="K178" s="27"/>
      <c r="L178" s="11"/>
      <c r="M178" s="11"/>
    </row>
    <row r="179" spans="1:13" ht="15" customHeight="1">
      <c r="A179" s="27"/>
      <c r="B179" s="11"/>
      <c r="C179" s="11"/>
      <c r="D179" s="11"/>
      <c r="E179" s="11"/>
      <c r="F179" s="27"/>
      <c r="G179" s="11"/>
      <c r="H179" s="11"/>
      <c r="I179" s="11"/>
      <c r="J179" s="11"/>
      <c r="K179" s="27"/>
      <c r="L179" s="11"/>
      <c r="M179" s="11"/>
    </row>
    <row r="180" spans="1:13" ht="15" customHeight="1">
      <c r="A180" s="27"/>
      <c r="B180" s="11"/>
      <c r="C180" s="11"/>
      <c r="D180" s="11"/>
      <c r="E180" s="11"/>
      <c r="F180" s="27"/>
      <c r="G180" s="11"/>
      <c r="H180" s="11"/>
      <c r="I180" s="11"/>
      <c r="J180" s="11"/>
      <c r="K180" s="27"/>
      <c r="L180" s="11"/>
      <c r="M180" s="11"/>
    </row>
    <row r="181" spans="1:13" ht="15" customHeight="1">
      <c r="A181" s="27"/>
      <c r="B181" s="11"/>
      <c r="C181" s="11"/>
      <c r="D181" s="11"/>
      <c r="E181" s="11"/>
      <c r="F181" s="27"/>
      <c r="G181" s="11"/>
      <c r="H181" s="11"/>
      <c r="I181" s="11"/>
      <c r="J181" s="11"/>
      <c r="K181" s="27"/>
      <c r="L181" s="11"/>
      <c r="M181" s="11"/>
    </row>
    <row r="182" spans="1:13" ht="15" customHeight="1">
      <c r="A182" s="27"/>
      <c r="B182" s="11"/>
      <c r="C182" s="11"/>
      <c r="D182" s="11"/>
      <c r="E182" s="11"/>
      <c r="F182" s="27"/>
      <c r="G182" s="11"/>
      <c r="H182" s="11"/>
      <c r="I182" s="11"/>
      <c r="J182" s="11"/>
      <c r="K182" s="27"/>
      <c r="L182" s="11"/>
      <c r="M182" s="11"/>
    </row>
    <row r="183" spans="1:13" ht="15" customHeight="1">
      <c r="A183" s="27"/>
      <c r="B183" s="11"/>
      <c r="C183" s="11"/>
      <c r="D183" s="11"/>
      <c r="E183" s="11"/>
      <c r="F183" s="27"/>
      <c r="G183" s="11"/>
      <c r="H183" s="11"/>
      <c r="I183" s="11"/>
      <c r="J183" s="11"/>
      <c r="K183" s="27"/>
      <c r="L183" s="11"/>
      <c r="M183" s="11"/>
    </row>
    <row r="184" spans="1:13" ht="15" customHeight="1">
      <c r="A184" s="27"/>
      <c r="B184" s="11"/>
      <c r="C184" s="11"/>
      <c r="D184" s="11"/>
      <c r="E184" s="11"/>
      <c r="F184" s="27"/>
      <c r="G184" s="11"/>
      <c r="H184" s="11"/>
      <c r="I184" s="11"/>
      <c r="J184" s="11"/>
      <c r="K184" s="27"/>
      <c r="L184" s="11"/>
      <c r="M184" s="11"/>
    </row>
    <row r="185" spans="1:13" ht="15" customHeight="1">
      <c r="A185" s="27"/>
      <c r="B185" s="11"/>
      <c r="C185" s="11"/>
      <c r="D185" s="11"/>
      <c r="E185" s="11"/>
      <c r="F185" s="27"/>
      <c r="G185" s="11"/>
      <c r="H185" s="11"/>
      <c r="I185" s="11"/>
      <c r="J185" s="11"/>
      <c r="K185" s="27"/>
      <c r="L185" s="11"/>
      <c r="M185" s="11"/>
    </row>
    <row r="186" spans="1:13" ht="15" customHeight="1">
      <c r="A186" s="27"/>
      <c r="B186" s="11"/>
      <c r="C186" s="11"/>
      <c r="D186" s="11"/>
      <c r="E186" s="11"/>
      <c r="F186" s="27"/>
      <c r="G186" s="11"/>
      <c r="H186" s="11"/>
      <c r="I186" s="11"/>
      <c r="J186" s="11"/>
      <c r="K186" s="27"/>
      <c r="L186" s="11"/>
      <c r="M186" s="11"/>
    </row>
    <row r="187" spans="1:13" ht="15" customHeight="1">
      <c r="A187" s="27"/>
      <c r="B187" s="11"/>
      <c r="C187" s="11"/>
      <c r="D187" s="11"/>
      <c r="E187" s="11"/>
      <c r="F187" s="27"/>
      <c r="G187" s="11"/>
      <c r="H187" s="11"/>
      <c r="I187" s="11"/>
      <c r="J187" s="11"/>
      <c r="K187" s="27"/>
      <c r="L187" s="11"/>
      <c r="M187" s="11"/>
    </row>
    <row r="188" spans="1:13" ht="15" customHeight="1">
      <c r="A188" s="27"/>
      <c r="B188" s="11"/>
      <c r="C188" s="11"/>
      <c r="D188" s="11"/>
      <c r="E188" s="11"/>
      <c r="F188" s="27"/>
      <c r="G188" s="11"/>
      <c r="H188" s="11"/>
      <c r="I188" s="11"/>
      <c r="J188" s="11"/>
      <c r="K188" s="27"/>
      <c r="L188" s="11"/>
      <c r="M188" s="11"/>
    </row>
    <row r="189" spans="1:13" ht="15" customHeight="1">
      <c r="A189" s="27"/>
      <c r="B189" s="11"/>
      <c r="C189" s="11"/>
      <c r="D189" s="11"/>
      <c r="E189" s="11"/>
      <c r="F189" s="27"/>
      <c r="G189" s="11"/>
      <c r="H189" s="11"/>
      <c r="I189" s="11"/>
      <c r="J189" s="11"/>
      <c r="K189" s="27"/>
      <c r="L189" s="11"/>
      <c r="M189" s="11"/>
    </row>
    <row r="190" spans="1:13" ht="15" customHeight="1">
      <c r="A190" s="27"/>
      <c r="B190" s="11"/>
      <c r="C190" s="11"/>
      <c r="D190" s="11"/>
      <c r="E190" s="11"/>
      <c r="F190" s="27"/>
      <c r="G190" s="11"/>
      <c r="H190" s="11"/>
      <c r="I190" s="11"/>
      <c r="J190" s="11"/>
      <c r="K190" s="27"/>
      <c r="L190" s="11"/>
      <c r="M190" s="11"/>
    </row>
    <row r="191" spans="1:13" ht="15" customHeight="1">
      <c r="A191" s="27"/>
      <c r="B191" s="11"/>
      <c r="C191" s="11"/>
      <c r="D191" s="11"/>
      <c r="E191" s="11"/>
      <c r="F191" s="27"/>
      <c r="G191" s="11"/>
      <c r="H191" s="11"/>
      <c r="I191" s="11"/>
      <c r="J191" s="11"/>
      <c r="K191" s="27"/>
      <c r="L191" s="11"/>
      <c r="M191" s="11"/>
    </row>
    <row r="192" spans="1:13" ht="15" customHeight="1">
      <c r="A192" s="27"/>
      <c r="B192" s="11"/>
      <c r="C192" s="11"/>
      <c r="D192" s="11"/>
      <c r="E192" s="11"/>
      <c r="F192" s="27"/>
      <c r="G192" s="11"/>
      <c r="H192" s="11"/>
      <c r="I192" s="11"/>
      <c r="J192" s="11"/>
      <c r="K192" s="27"/>
      <c r="L192" s="11"/>
      <c r="M192" s="11"/>
    </row>
    <row r="193" spans="1:13" ht="15" customHeight="1">
      <c r="A193" s="27"/>
      <c r="B193" s="11"/>
      <c r="C193" s="11"/>
      <c r="D193" s="11"/>
      <c r="E193" s="11"/>
      <c r="F193" s="27"/>
      <c r="G193" s="11"/>
      <c r="H193" s="11"/>
      <c r="I193" s="11"/>
      <c r="J193" s="11"/>
      <c r="K193" s="27"/>
      <c r="L193" s="11"/>
      <c r="M193" s="11"/>
    </row>
    <row r="194" spans="1:13" ht="15" customHeight="1">
      <c r="A194" s="27"/>
      <c r="B194" s="11"/>
      <c r="C194" s="11"/>
      <c r="D194" s="11"/>
      <c r="E194" s="11"/>
      <c r="F194" s="27"/>
      <c r="G194" s="11"/>
      <c r="H194" s="11"/>
      <c r="I194" s="11"/>
      <c r="J194" s="11"/>
      <c r="K194" s="27"/>
      <c r="L194" s="11"/>
      <c r="M194" s="11"/>
    </row>
    <row r="195" spans="1:13" ht="15" customHeight="1">
      <c r="A195" s="27"/>
      <c r="B195" s="11"/>
      <c r="C195" s="11"/>
      <c r="D195" s="11"/>
      <c r="E195" s="11"/>
      <c r="F195" s="27"/>
      <c r="G195" s="11"/>
      <c r="H195" s="11"/>
      <c r="I195" s="11"/>
      <c r="J195" s="11"/>
      <c r="K195" s="27"/>
      <c r="L195" s="11"/>
      <c r="M195" s="11"/>
    </row>
    <row r="196" spans="1:13" ht="15" customHeight="1">
      <c r="A196" s="27"/>
      <c r="B196" s="11"/>
      <c r="C196" s="11"/>
      <c r="D196" s="11"/>
      <c r="E196" s="11"/>
      <c r="F196" s="27"/>
      <c r="G196" s="11"/>
      <c r="H196" s="11"/>
      <c r="I196" s="11"/>
      <c r="J196" s="11"/>
      <c r="K196" s="27"/>
      <c r="L196" s="11"/>
      <c r="M196" s="11"/>
    </row>
    <row r="197" spans="1:13" ht="15" customHeight="1">
      <c r="A197" s="27"/>
      <c r="B197" s="11"/>
      <c r="C197" s="11"/>
      <c r="D197" s="11"/>
      <c r="E197" s="11"/>
      <c r="F197" s="27"/>
      <c r="G197" s="11"/>
      <c r="H197" s="11"/>
      <c r="I197" s="11"/>
      <c r="J197" s="11"/>
      <c r="K197" s="27"/>
      <c r="L197" s="11"/>
      <c r="M197" s="11"/>
    </row>
    <row r="198" spans="1:13" ht="15" customHeight="1">
      <c r="A198" s="27"/>
      <c r="B198" s="11"/>
      <c r="C198" s="11"/>
      <c r="D198" s="11"/>
      <c r="E198" s="11"/>
      <c r="F198" s="27"/>
      <c r="G198" s="11"/>
      <c r="H198" s="11"/>
      <c r="I198" s="11"/>
      <c r="J198" s="11"/>
      <c r="K198" s="27"/>
      <c r="L198" s="11"/>
      <c r="M198" s="11"/>
    </row>
    <row r="199" spans="1:13" ht="15" customHeight="1">
      <c r="A199" s="27"/>
      <c r="B199" s="11"/>
      <c r="C199" s="11"/>
      <c r="D199" s="11"/>
      <c r="E199" s="11"/>
      <c r="F199" s="27"/>
      <c r="G199" s="11"/>
      <c r="H199" s="11"/>
      <c r="I199" s="11"/>
      <c r="J199" s="11"/>
      <c r="K199" s="27"/>
      <c r="L199" s="11"/>
      <c r="M199" s="11"/>
    </row>
    <row r="200" spans="1:13" ht="15" customHeight="1">
      <c r="A200" s="27"/>
      <c r="B200" s="11"/>
      <c r="C200" s="11"/>
      <c r="D200" s="11"/>
      <c r="E200" s="11"/>
      <c r="F200" s="27"/>
      <c r="G200" s="11"/>
      <c r="H200" s="11"/>
      <c r="I200" s="11"/>
      <c r="J200" s="11"/>
      <c r="K200" s="27"/>
      <c r="L200" s="11"/>
      <c r="M200" s="11"/>
    </row>
    <row r="201" spans="1:13" ht="15" customHeight="1">
      <c r="A201" s="27"/>
      <c r="B201" s="11"/>
      <c r="C201" s="11"/>
      <c r="D201" s="11"/>
      <c r="E201" s="11"/>
      <c r="F201" s="27"/>
      <c r="G201" s="11"/>
      <c r="H201" s="11"/>
      <c r="I201" s="11"/>
      <c r="J201" s="11"/>
      <c r="K201" s="27"/>
      <c r="L201" s="11"/>
      <c r="M201" s="11"/>
    </row>
    <row r="202" spans="1:13" ht="15" customHeight="1">
      <c r="A202" s="27"/>
      <c r="B202" s="11"/>
      <c r="C202" s="11"/>
      <c r="D202" s="11"/>
      <c r="E202" s="11"/>
      <c r="F202" s="27"/>
      <c r="G202" s="11"/>
      <c r="H202" s="11"/>
      <c r="I202" s="11"/>
      <c r="J202" s="11"/>
      <c r="K202" s="27"/>
      <c r="L202" s="11"/>
      <c r="M202" s="11"/>
    </row>
    <row r="203" spans="1:13" ht="15" customHeight="1">
      <c r="A203" s="27"/>
      <c r="B203" s="11"/>
      <c r="C203" s="11"/>
      <c r="D203" s="11"/>
      <c r="E203" s="11"/>
      <c r="F203" s="27"/>
      <c r="G203" s="11"/>
      <c r="H203" s="11"/>
      <c r="I203" s="11"/>
      <c r="J203" s="11"/>
      <c r="K203" s="27"/>
      <c r="L203" s="11"/>
      <c r="M203" s="11"/>
    </row>
    <row r="204" spans="1:13" ht="15" customHeight="1">
      <c r="A204" s="27"/>
      <c r="B204" s="11"/>
      <c r="C204" s="11"/>
      <c r="D204" s="11"/>
      <c r="E204" s="11"/>
      <c r="F204" s="27"/>
      <c r="G204" s="11"/>
      <c r="H204" s="11"/>
      <c r="I204" s="11"/>
      <c r="J204" s="11"/>
      <c r="K204" s="27"/>
      <c r="L204" s="11"/>
      <c r="M204" s="11"/>
    </row>
    <row r="205" spans="1:13" ht="15" customHeight="1">
      <c r="A205" s="27"/>
      <c r="B205" s="11"/>
      <c r="C205" s="11"/>
      <c r="D205" s="11"/>
      <c r="E205" s="11"/>
      <c r="F205" s="27"/>
      <c r="G205" s="11"/>
      <c r="H205" s="11"/>
      <c r="I205" s="11"/>
      <c r="J205" s="11"/>
      <c r="K205" s="27"/>
      <c r="L205" s="11"/>
      <c r="M205" s="11"/>
    </row>
    <row r="206" spans="1:13" ht="15" customHeight="1">
      <c r="A206" s="27"/>
      <c r="B206" s="11"/>
      <c r="C206" s="11"/>
      <c r="D206" s="11"/>
      <c r="E206" s="11"/>
      <c r="F206" s="27"/>
      <c r="G206" s="11"/>
      <c r="H206" s="11"/>
      <c r="I206" s="11"/>
      <c r="J206" s="11"/>
      <c r="K206" s="27"/>
      <c r="L206" s="11"/>
      <c r="M206" s="11"/>
    </row>
    <row r="207" spans="1:13" ht="15" customHeight="1">
      <c r="A207" s="27"/>
      <c r="B207" s="11"/>
      <c r="C207" s="11"/>
      <c r="D207" s="11"/>
      <c r="E207" s="11"/>
      <c r="F207" s="27"/>
      <c r="G207" s="11"/>
      <c r="H207" s="11"/>
      <c r="I207" s="11"/>
      <c r="J207" s="11"/>
      <c r="K207" s="27"/>
      <c r="L207" s="11"/>
      <c r="M207" s="11"/>
    </row>
    <row r="208" spans="1:13" ht="15" customHeight="1">
      <c r="A208" s="27"/>
      <c r="B208" s="11"/>
      <c r="C208" s="11"/>
      <c r="D208" s="11"/>
      <c r="E208" s="11"/>
      <c r="F208" s="27"/>
      <c r="G208" s="11"/>
      <c r="H208" s="11"/>
      <c r="I208" s="11"/>
      <c r="J208" s="11"/>
      <c r="K208" s="27"/>
      <c r="L208" s="11"/>
      <c r="M208" s="11"/>
    </row>
    <row r="209" spans="1:13" ht="15" customHeight="1">
      <c r="A209" s="27"/>
      <c r="B209" s="11"/>
      <c r="C209" s="11"/>
      <c r="D209" s="11"/>
      <c r="E209" s="11"/>
      <c r="F209" s="27"/>
      <c r="G209" s="11"/>
      <c r="H209" s="11"/>
      <c r="I209" s="11"/>
      <c r="J209" s="11"/>
      <c r="K209" s="27"/>
      <c r="L209" s="11"/>
      <c r="M209" s="11"/>
    </row>
    <row r="210" spans="1:13" ht="15" customHeight="1">
      <c r="A210" s="27"/>
      <c r="B210" s="11"/>
      <c r="C210" s="11"/>
      <c r="D210" s="11"/>
      <c r="E210" s="11"/>
      <c r="F210" s="27"/>
      <c r="G210" s="11"/>
      <c r="H210" s="11"/>
      <c r="I210" s="11"/>
      <c r="J210" s="11"/>
      <c r="K210" s="27"/>
      <c r="L210" s="11"/>
      <c r="M210" s="11"/>
    </row>
    <row r="211" spans="1:13" ht="15" customHeight="1">
      <c r="A211" s="27"/>
      <c r="B211" s="11"/>
      <c r="C211" s="11"/>
      <c r="D211" s="11"/>
      <c r="E211" s="11"/>
      <c r="F211" s="27"/>
      <c r="G211" s="11"/>
      <c r="H211" s="11"/>
      <c r="I211" s="11"/>
      <c r="J211" s="11"/>
      <c r="K211" s="27"/>
      <c r="L211" s="11"/>
      <c r="M211" s="11"/>
    </row>
    <row r="212" spans="1:13" ht="15" customHeight="1">
      <c r="A212" s="27"/>
      <c r="B212" s="11"/>
      <c r="C212" s="11"/>
      <c r="D212" s="11"/>
      <c r="E212" s="11"/>
      <c r="F212" s="27"/>
      <c r="G212" s="11"/>
      <c r="H212" s="11"/>
      <c r="I212" s="11"/>
      <c r="J212" s="11"/>
      <c r="K212" s="27"/>
      <c r="L212" s="11"/>
      <c r="M212" s="11"/>
    </row>
    <row r="213" spans="1:13" ht="15" customHeight="1">
      <c r="A213" s="27"/>
      <c r="B213" s="11"/>
      <c r="C213" s="11"/>
      <c r="D213" s="11"/>
      <c r="E213" s="11"/>
      <c r="F213" s="27"/>
      <c r="G213" s="11"/>
      <c r="H213" s="11"/>
      <c r="I213" s="11"/>
      <c r="J213" s="11"/>
      <c r="K213" s="27"/>
      <c r="L213" s="11"/>
      <c r="M213" s="11"/>
    </row>
    <row r="214" spans="1:13" ht="15" customHeight="1">
      <c r="A214" s="27"/>
      <c r="B214" s="11"/>
      <c r="C214" s="11"/>
      <c r="D214" s="11"/>
      <c r="E214" s="11"/>
      <c r="F214" s="27"/>
      <c r="G214" s="11"/>
      <c r="H214" s="11"/>
      <c r="I214" s="11"/>
      <c r="J214" s="11"/>
      <c r="K214" s="27"/>
      <c r="L214" s="11"/>
      <c r="M214" s="11"/>
    </row>
    <row r="215" spans="1:13" ht="15" customHeight="1">
      <c r="A215" s="27"/>
      <c r="B215" s="11"/>
      <c r="C215" s="11"/>
      <c r="D215" s="11"/>
      <c r="E215" s="11"/>
      <c r="F215" s="27"/>
      <c r="G215" s="11"/>
      <c r="H215" s="11"/>
      <c r="I215" s="11"/>
      <c r="J215" s="11"/>
      <c r="K215" s="27"/>
      <c r="L215" s="11"/>
      <c r="M215" s="11"/>
    </row>
    <row r="216" spans="1:13" ht="15" customHeight="1">
      <c r="A216" s="27"/>
      <c r="B216" s="11"/>
      <c r="C216" s="11"/>
      <c r="D216" s="11"/>
      <c r="E216" s="11"/>
      <c r="F216" s="27"/>
      <c r="G216" s="11"/>
      <c r="H216" s="11"/>
      <c r="I216" s="11"/>
      <c r="J216" s="11"/>
      <c r="K216" s="27"/>
      <c r="L216" s="11"/>
      <c r="M216" s="11"/>
    </row>
    <row r="217" spans="1:13" ht="15" customHeight="1">
      <c r="A217" s="27"/>
      <c r="B217" s="11"/>
      <c r="C217" s="11"/>
      <c r="D217" s="11"/>
      <c r="E217" s="11"/>
      <c r="F217" s="27"/>
      <c r="G217" s="11"/>
      <c r="H217" s="11"/>
      <c r="I217" s="11"/>
      <c r="J217" s="11"/>
      <c r="K217" s="27"/>
      <c r="L217" s="11"/>
      <c r="M217" s="11"/>
    </row>
    <row r="218" spans="1:13" ht="15" customHeight="1">
      <c r="A218" s="27"/>
      <c r="B218" s="11"/>
      <c r="C218" s="11"/>
      <c r="D218" s="11"/>
      <c r="E218" s="11"/>
      <c r="F218" s="27"/>
      <c r="G218" s="11"/>
      <c r="H218" s="11"/>
      <c r="I218" s="11"/>
      <c r="J218" s="11"/>
      <c r="K218" s="27"/>
      <c r="L218" s="11"/>
      <c r="M218" s="11"/>
    </row>
    <row r="219" spans="1:13" ht="15" customHeight="1">
      <c r="A219" s="27"/>
      <c r="B219" s="11"/>
      <c r="C219" s="11"/>
      <c r="D219" s="11"/>
      <c r="E219" s="11"/>
      <c r="F219" s="27"/>
      <c r="G219" s="11"/>
      <c r="H219" s="11"/>
      <c r="I219" s="11"/>
      <c r="J219" s="11"/>
      <c r="K219" s="27"/>
      <c r="L219" s="11"/>
      <c r="M219" s="11"/>
    </row>
    <row r="220" spans="1:13" ht="15" customHeight="1">
      <c r="A220" s="27"/>
      <c r="B220" s="11"/>
      <c r="C220" s="11"/>
      <c r="D220" s="11"/>
      <c r="E220" s="11"/>
      <c r="F220" s="27"/>
      <c r="G220" s="11"/>
      <c r="H220" s="11"/>
      <c r="I220" s="11"/>
      <c r="J220" s="11"/>
      <c r="K220" s="27"/>
      <c r="L220" s="11"/>
      <c r="M220" s="11"/>
    </row>
    <row r="221" spans="1:13" ht="15" customHeight="1">
      <c r="A221" s="27"/>
      <c r="B221" s="11"/>
      <c r="C221" s="11"/>
      <c r="D221" s="11"/>
      <c r="E221" s="11"/>
      <c r="F221" s="27"/>
      <c r="G221" s="11"/>
      <c r="H221" s="11"/>
      <c r="I221" s="11"/>
      <c r="J221" s="11"/>
      <c r="K221" s="27"/>
      <c r="L221" s="11"/>
      <c r="M221" s="11"/>
    </row>
    <row r="222" spans="1:13" ht="15" customHeight="1">
      <c r="A222" s="27"/>
      <c r="B222" s="11"/>
      <c r="C222" s="11"/>
      <c r="D222" s="11"/>
      <c r="E222" s="11"/>
      <c r="F222" s="27"/>
      <c r="G222" s="11"/>
      <c r="H222" s="11"/>
      <c r="I222" s="11"/>
      <c r="J222" s="11"/>
      <c r="K222" s="27"/>
      <c r="L222" s="11"/>
      <c r="M222" s="11"/>
    </row>
    <row r="223" spans="1:13" ht="15" customHeight="1">
      <c r="A223" s="27"/>
      <c r="B223" s="11"/>
      <c r="C223" s="11"/>
      <c r="D223" s="11"/>
      <c r="E223" s="11"/>
      <c r="F223" s="27"/>
      <c r="G223" s="11"/>
      <c r="H223" s="11"/>
      <c r="I223" s="11"/>
      <c r="J223" s="11"/>
      <c r="K223" s="27"/>
      <c r="L223" s="11"/>
      <c r="M223" s="11"/>
    </row>
    <row r="224" spans="1:13" ht="15" customHeight="1">
      <c r="A224" s="27"/>
      <c r="B224" s="11"/>
      <c r="C224" s="11"/>
      <c r="D224" s="11"/>
      <c r="E224" s="11"/>
      <c r="F224" s="27"/>
      <c r="G224" s="11"/>
      <c r="H224" s="11"/>
      <c r="I224" s="11"/>
      <c r="J224" s="11"/>
      <c r="K224" s="27"/>
      <c r="L224" s="11"/>
      <c r="M224" s="11"/>
    </row>
    <row r="225" spans="1:13" ht="15" customHeight="1">
      <c r="A225" s="27"/>
      <c r="B225" s="11"/>
      <c r="C225" s="11"/>
      <c r="D225" s="11"/>
      <c r="E225" s="11"/>
      <c r="F225" s="27"/>
      <c r="G225" s="11"/>
      <c r="H225" s="11"/>
      <c r="I225" s="11"/>
      <c r="J225" s="11"/>
      <c r="K225" s="27"/>
      <c r="L225" s="11"/>
      <c r="M225" s="11"/>
    </row>
    <row r="226" spans="1:13" ht="15" customHeight="1">
      <c r="A226" s="27"/>
      <c r="B226" s="11"/>
      <c r="C226" s="11"/>
      <c r="D226" s="11"/>
      <c r="E226" s="11"/>
      <c r="F226" s="27"/>
      <c r="G226" s="11"/>
      <c r="H226" s="11"/>
      <c r="I226" s="11"/>
      <c r="J226" s="11"/>
      <c r="K226" s="27"/>
      <c r="L226" s="11"/>
      <c r="M226" s="11"/>
    </row>
    <row r="227" spans="1:13" ht="15" customHeight="1">
      <c r="A227" s="27"/>
      <c r="B227" s="11"/>
      <c r="C227" s="11"/>
      <c r="D227" s="11"/>
      <c r="E227" s="11"/>
      <c r="F227" s="27"/>
      <c r="G227" s="11"/>
      <c r="H227" s="11"/>
      <c r="I227" s="11"/>
      <c r="J227" s="11"/>
      <c r="K227" s="27"/>
      <c r="L227" s="11"/>
      <c r="M227" s="11"/>
    </row>
    <row r="228" spans="1:13" ht="15" customHeight="1">
      <c r="A228" s="27"/>
      <c r="B228" s="11"/>
      <c r="C228" s="11"/>
      <c r="D228" s="11"/>
      <c r="E228" s="11"/>
      <c r="F228" s="27"/>
      <c r="G228" s="11"/>
      <c r="H228" s="11"/>
      <c r="I228" s="11"/>
      <c r="J228" s="11"/>
      <c r="K228" s="27"/>
      <c r="L228" s="11"/>
      <c r="M228" s="11"/>
    </row>
    <row r="229" spans="1:13" ht="15" customHeight="1">
      <c r="A229" s="27"/>
      <c r="B229" s="11"/>
      <c r="C229" s="11"/>
      <c r="D229" s="11"/>
      <c r="E229" s="11"/>
      <c r="F229" s="27"/>
      <c r="G229" s="11"/>
      <c r="H229" s="11"/>
      <c r="I229" s="11"/>
      <c r="J229" s="11"/>
      <c r="K229" s="27"/>
      <c r="L229" s="11"/>
      <c r="M229" s="11"/>
    </row>
    <row r="230" spans="1:13" ht="15" customHeight="1">
      <c r="A230" s="27"/>
      <c r="B230" s="11"/>
      <c r="C230" s="11"/>
      <c r="D230" s="11"/>
      <c r="E230" s="11"/>
      <c r="F230" s="27"/>
      <c r="G230" s="11"/>
      <c r="H230" s="11"/>
      <c r="I230" s="11"/>
      <c r="J230" s="11"/>
      <c r="K230" s="27"/>
      <c r="L230" s="11"/>
      <c r="M230" s="11"/>
    </row>
    <row r="231" spans="1:13" ht="15" customHeight="1">
      <c r="A231" s="27"/>
      <c r="B231" s="11"/>
      <c r="C231" s="11"/>
      <c r="D231" s="11"/>
      <c r="E231" s="11"/>
      <c r="F231" s="27"/>
      <c r="G231" s="11"/>
      <c r="H231" s="11"/>
      <c r="I231" s="11"/>
      <c r="J231" s="11"/>
      <c r="K231" s="27"/>
      <c r="L231" s="11"/>
      <c r="M231" s="11"/>
    </row>
    <row r="232" spans="1:13" ht="15" customHeight="1">
      <c r="A232" s="27"/>
      <c r="B232" s="11"/>
      <c r="C232" s="11"/>
      <c r="D232" s="11"/>
      <c r="E232" s="11"/>
      <c r="F232" s="27"/>
      <c r="G232" s="11"/>
      <c r="H232" s="11"/>
      <c r="I232" s="11"/>
      <c r="J232" s="11"/>
      <c r="K232" s="27"/>
      <c r="L232" s="11"/>
      <c r="M232" s="11"/>
    </row>
    <row r="233" spans="1:13" ht="15" customHeight="1">
      <c r="A233" s="27"/>
      <c r="B233" s="11"/>
      <c r="C233" s="11"/>
      <c r="D233" s="11"/>
      <c r="E233" s="11"/>
      <c r="F233" s="27"/>
      <c r="G233" s="11"/>
      <c r="H233" s="11"/>
      <c r="I233" s="11"/>
      <c r="J233" s="11"/>
      <c r="K233" s="27"/>
      <c r="L233" s="11"/>
      <c r="M233" s="11"/>
    </row>
    <row r="234" spans="1:13" ht="15" customHeight="1">
      <c r="A234" s="27"/>
      <c r="B234" s="11"/>
      <c r="C234" s="11"/>
      <c r="D234" s="11"/>
      <c r="E234" s="11"/>
      <c r="F234" s="27"/>
      <c r="G234" s="11"/>
      <c r="H234" s="11"/>
      <c r="I234" s="11"/>
      <c r="J234" s="11"/>
      <c r="K234" s="27"/>
      <c r="L234" s="11"/>
      <c r="M234" s="11"/>
    </row>
    <row r="235" spans="1:13" ht="15" customHeight="1">
      <c r="A235" s="27"/>
      <c r="B235" s="11"/>
      <c r="C235" s="11"/>
      <c r="D235" s="11"/>
      <c r="E235" s="11"/>
      <c r="F235" s="27"/>
      <c r="G235" s="11"/>
      <c r="H235" s="11"/>
      <c r="I235" s="11"/>
      <c r="J235" s="11"/>
      <c r="K235" s="27"/>
      <c r="L235" s="11"/>
      <c r="M235" s="11"/>
    </row>
    <row r="236" spans="1:13" ht="15" customHeight="1">
      <c r="A236" s="27"/>
      <c r="B236" s="11"/>
      <c r="C236" s="11"/>
      <c r="D236" s="11"/>
      <c r="E236" s="11"/>
      <c r="F236" s="27"/>
      <c r="G236" s="11"/>
      <c r="H236" s="11"/>
      <c r="I236" s="11"/>
      <c r="J236" s="11"/>
      <c r="K236" s="27"/>
      <c r="L236" s="11"/>
      <c r="M236" s="11"/>
    </row>
    <row r="237" spans="1:13" ht="15" customHeight="1">
      <c r="A237" s="27"/>
      <c r="B237" s="11"/>
      <c r="C237" s="11"/>
      <c r="D237" s="11"/>
      <c r="E237" s="11"/>
      <c r="F237" s="27"/>
      <c r="G237" s="11"/>
      <c r="H237" s="11"/>
      <c r="I237" s="11"/>
      <c r="J237" s="11"/>
      <c r="K237" s="27"/>
      <c r="L237" s="11"/>
      <c r="M237" s="11"/>
    </row>
    <row r="238" spans="1:13" ht="15" customHeight="1">
      <c r="A238" s="27"/>
      <c r="B238" s="11"/>
      <c r="C238" s="11"/>
      <c r="D238" s="11"/>
      <c r="E238" s="11"/>
      <c r="F238" s="27"/>
      <c r="G238" s="11"/>
      <c r="H238" s="11"/>
      <c r="I238" s="11"/>
      <c r="J238" s="11"/>
      <c r="K238" s="27"/>
      <c r="L238" s="11"/>
      <c r="M238" s="11"/>
    </row>
    <row r="239" spans="1:13" ht="15" customHeight="1">
      <c r="A239" s="27"/>
      <c r="B239" s="11"/>
      <c r="C239" s="11"/>
      <c r="D239" s="11"/>
      <c r="E239" s="11"/>
      <c r="F239" s="27"/>
      <c r="G239" s="11"/>
      <c r="H239" s="11"/>
      <c r="I239" s="11"/>
      <c r="J239" s="11"/>
      <c r="K239" s="27"/>
      <c r="L239" s="11"/>
      <c r="M239" s="11"/>
    </row>
    <row r="240" spans="1:13" ht="15" customHeight="1">
      <c r="A240" s="27"/>
      <c r="B240" s="11"/>
      <c r="C240" s="11"/>
      <c r="D240" s="11"/>
      <c r="E240" s="11"/>
      <c r="F240" s="27"/>
      <c r="G240" s="11"/>
      <c r="H240" s="11"/>
      <c r="I240" s="11"/>
      <c r="J240" s="11"/>
      <c r="K240" s="27"/>
      <c r="L240" s="11"/>
      <c r="M240" s="11"/>
    </row>
    <row r="241" spans="1:13" ht="15" customHeight="1">
      <c r="A241" s="27"/>
      <c r="B241" s="11"/>
      <c r="C241" s="11"/>
      <c r="D241" s="11"/>
      <c r="E241" s="11"/>
      <c r="F241" s="27"/>
      <c r="G241" s="11"/>
      <c r="H241" s="11"/>
      <c r="I241" s="11"/>
      <c r="J241" s="11"/>
      <c r="K241" s="27"/>
      <c r="L241" s="11"/>
      <c r="M241" s="11"/>
    </row>
    <row r="242" spans="1:13" ht="15" customHeight="1">
      <c r="A242" s="27"/>
      <c r="B242" s="11"/>
      <c r="C242" s="11"/>
      <c r="D242" s="11"/>
      <c r="E242" s="11"/>
      <c r="F242" s="27"/>
      <c r="G242" s="11"/>
      <c r="H242" s="11"/>
      <c r="I242" s="11"/>
      <c r="J242" s="11"/>
      <c r="K242" s="27"/>
      <c r="L242" s="11"/>
      <c r="M242" s="11"/>
    </row>
    <row r="243" spans="1:13" ht="15" customHeight="1">
      <c r="A243" s="27"/>
      <c r="B243" s="11"/>
      <c r="C243" s="11"/>
      <c r="D243" s="11"/>
      <c r="E243" s="11"/>
      <c r="F243" s="27"/>
      <c r="G243" s="11"/>
      <c r="H243" s="11"/>
      <c r="I243" s="11"/>
      <c r="J243" s="11"/>
      <c r="K243" s="27"/>
      <c r="L243" s="11"/>
      <c r="M243" s="11"/>
    </row>
    <row r="244" spans="1:13" ht="15" customHeight="1">
      <c r="A244" s="27"/>
      <c r="B244" s="11"/>
      <c r="C244" s="11"/>
      <c r="D244" s="11"/>
      <c r="E244" s="11"/>
      <c r="F244" s="27"/>
      <c r="G244" s="11"/>
      <c r="H244" s="11"/>
      <c r="I244" s="11"/>
      <c r="J244" s="11"/>
      <c r="K244" s="27"/>
      <c r="L244" s="11"/>
      <c r="M244" s="11"/>
    </row>
    <row r="245" spans="1:13" ht="15" customHeight="1">
      <c r="A245" s="27"/>
      <c r="B245" s="11"/>
      <c r="C245" s="11"/>
      <c r="D245" s="11"/>
      <c r="E245" s="11"/>
      <c r="F245" s="27"/>
      <c r="G245" s="11"/>
      <c r="H245" s="11"/>
      <c r="I245" s="11"/>
      <c r="J245" s="11"/>
      <c r="K245" s="27"/>
      <c r="L245" s="11"/>
      <c r="M245" s="11"/>
    </row>
    <row r="246" spans="1:13" ht="15" customHeight="1">
      <c r="A246" s="27"/>
      <c r="B246" s="11"/>
      <c r="C246" s="11"/>
      <c r="D246" s="11"/>
      <c r="E246" s="11"/>
      <c r="F246" s="27"/>
      <c r="G246" s="11"/>
      <c r="H246" s="11"/>
      <c r="I246" s="11"/>
      <c r="J246" s="11"/>
      <c r="K246" s="27"/>
      <c r="L246" s="11"/>
      <c r="M246" s="11"/>
    </row>
    <row r="247" spans="1:13" ht="15" customHeight="1">
      <c r="A247" s="27"/>
      <c r="B247" s="11"/>
      <c r="C247" s="11"/>
      <c r="D247" s="11"/>
      <c r="E247" s="11"/>
      <c r="F247" s="27"/>
      <c r="G247" s="11"/>
      <c r="H247" s="11"/>
      <c r="I247" s="11"/>
      <c r="J247" s="11"/>
      <c r="K247" s="27"/>
      <c r="L247" s="11"/>
      <c r="M247" s="11"/>
    </row>
    <row r="248" spans="1:13" ht="15" customHeight="1">
      <c r="A248" s="27"/>
      <c r="B248" s="11"/>
      <c r="C248" s="11"/>
      <c r="D248" s="11"/>
      <c r="E248" s="11"/>
      <c r="F248" s="27"/>
      <c r="G248" s="11"/>
      <c r="H248" s="11"/>
      <c r="I248" s="11"/>
      <c r="J248" s="11"/>
      <c r="K248" s="27"/>
      <c r="L248" s="11"/>
      <c r="M248" s="11"/>
    </row>
    <row r="249" spans="1:13" ht="15" customHeight="1">
      <c r="A249" s="27"/>
      <c r="B249" s="11"/>
      <c r="C249" s="11"/>
      <c r="D249" s="11"/>
      <c r="E249" s="11"/>
      <c r="F249" s="27"/>
      <c r="G249" s="11"/>
      <c r="H249" s="11"/>
      <c r="I249" s="11"/>
      <c r="J249" s="11"/>
      <c r="K249" s="27"/>
      <c r="L249" s="11"/>
      <c r="M249" s="11"/>
    </row>
    <row r="250" spans="1:13" ht="15" customHeight="1">
      <c r="A250" s="27"/>
      <c r="B250" s="11"/>
      <c r="C250" s="11"/>
      <c r="D250" s="11"/>
      <c r="E250" s="11"/>
      <c r="F250" s="27"/>
      <c r="G250" s="11"/>
      <c r="H250" s="11"/>
      <c r="I250" s="11"/>
      <c r="J250" s="11"/>
      <c r="K250" s="27"/>
      <c r="L250" s="11"/>
      <c r="M250" s="11"/>
    </row>
    <row r="251" spans="1:13" ht="15" customHeight="1">
      <c r="A251" s="27"/>
      <c r="B251" s="11"/>
      <c r="C251" s="11"/>
      <c r="D251" s="11"/>
      <c r="E251" s="11"/>
      <c r="F251" s="27"/>
      <c r="G251" s="11"/>
      <c r="H251" s="11"/>
      <c r="I251" s="11"/>
      <c r="J251" s="11"/>
      <c r="K251" s="27"/>
      <c r="L251" s="11"/>
      <c r="M251" s="11"/>
    </row>
    <row r="252" spans="1:13" ht="15" customHeight="1">
      <c r="A252" s="27"/>
      <c r="B252" s="11"/>
      <c r="C252" s="11"/>
      <c r="D252" s="11"/>
      <c r="E252" s="11"/>
      <c r="F252" s="27"/>
      <c r="G252" s="11"/>
      <c r="H252" s="11"/>
      <c r="I252" s="11"/>
      <c r="J252" s="11"/>
      <c r="K252" s="27"/>
      <c r="L252" s="11"/>
      <c r="M252" s="11"/>
    </row>
    <row r="253" spans="1:13" ht="15" customHeight="1">
      <c r="A253" s="27"/>
      <c r="B253" s="11"/>
      <c r="C253" s="11"/>
      <c r="D253" s="11"/>
      <c r="E253" s="11"/>
      <c r="F253" s="27"/>
      <c r="G253" s="11"/>
      <c r="H253" s="11"/>
      <c r="I253" s="11"/>
      <c r="J253" s="11"/>
      <c r="K253" s="27"/>
      <c r="L253" s="11"/>
      <c r="M253" s="11"/>
    </row>
    <row r="254" spans="1:13" ht="15" customHeight="1">
      <c r="A254" s="27"/>
      <c r="B254" s="11"/>
      <c r="C254" s="11"/>
      <c r="D254" s="11"/>
      <c r="E254" s="11"/>
      <c r="F254" s="27"/>
      <c r="G254" s="11"/>
      <c r="H254" s="11"/>
      <c r="I254" s="11"/>
      <c r="J254" s="11"/>
      <c r="K254" s="27"/>
      <c r="L254" s="11"/>
      <c r="M254" s="11"/>
    </row>
    <row r="255" spans="1:13" ht="15" customHeight="1">
      <c r="A255" s="27"/>
      <c r="B255" s="11"/>
      <c r="C255" s="11"/>
      <c r="D255" s="11"/>
      <c r="E255" s="11"/>
      <c r="F255" s="27"/>
      <c r="G255" s="11"/>
      <c r="H255" s="11"/>
      <c r="I255" s="11"/>
      <c r="J255" s="11"/>
      <c r="K255" s="27"/>
      <c r="L255" s="11"/>
      <c r="M255" s="11"/>
    </row>
    <row r="256" spans="1:13" ht="15" customHeight="1">
      <c r="A256" s="27"/>
      <c r="B256" s="11"/>
      <c r="C256" s="11"/>
      <c r="D256" s="11"/>
      <c r="E256" s="11"/>
      <c r="F256" s="27"/>
      <c r="G256" s="11"/>
      <c r="H256" s="11"/>
      <c r="I256" s="11"/>
      <c r="J256" s="11"/>
      <c r="K256" s="27"/>
      <c r="L256" s="11"/>
      <c r="M256" s="11"/>
    </row>
    <row r="257" spans="1:13" ht="15" customHeight="1">
      <c r="A257" s="27"/>
      <c r="B257" s="11"/>
      <c r="C257" s="11"/>
      <c r="D257" s="11"/>
      <c r="E257" s="11"/>
      <c r="F257" s="27"/>
      <c r="G257" s="11"/>
      <c r="H257" s="11"/>
      <c r="I257" s="11"/>
      <c r="J257" s="11"/>
      <c r="K257" s="27"/>
      <c r="L257" s="11"/>
      <c r="M257" s="11"/>
    </row>
    <row r="258" spans="1:13" ht="15" customHeight="1">
      <c r="A258" s="27"/>
      <c r="B258" s="11"/>
      <c r="C258" s="11"/>
      <c r="D258" s="11"/>
      <c r="E258" s="11"/>
      <c r="F258" s="27"/>
      <c r="G258" s="11"/>
      <c r="H258" s="11"/>
      <c r="I258" s="11"/>
      <c r="J258" s="11"/>
      <c r="K258" s="27"/>
      <c r="L258" s="11"/>
      <c r="M258" s="11"/>
    </row>
    <row r="259" spans="1:13" ht="15" customHeight="1">
      <c r="A259" s="27"/>
      <c r="B259" s="11"/>
      <c r="C259" s="11"/>
      <c r="D259" s="11"/>
      <c r="E259" s="11"/>
      <c r="F259" s="27"/>
      <c r="G259" s="11"/>
      <c r="H259" s="11"/>
      <c r="I259" s="11"/>
      <c r="J259" s="11"/>
      <c r="K259" s="27"/>
      <c r="L259" s="11"/>
      <c r="M259" s="11"/>
    </row>
    <row r="260" spans="1:13" ht="15" customHeight="1">
      <c r="A260" s="27"/>
      <c r="B260" s="11"/>
      <c r="C260" s="11"/>
      <c r="D260" s="11"/>
      <c r="E260" s="11"/>
      <c r="F260" s="27"/>
      <c r="G260" s="11"/>
      <c r="H260" s="11"/>
      <c r="I260" s="11"/>
      <c r="J260" s="11"/>
      <c r="K260" s="27"/>
      <c r="L260" s="11"/>
      <c r="M260" s="11"/>
    </row>
    <row r="261" spans="1:13" ht="15" customHeight="1">
      <c r="A261" s="27"/>
      <c r="B261" s="11"/>
      <c r="C261" s="11"/>
      <c r="D261" s="11"/>
      <c r="E261" s="11"/>
      <c r="F261" s="27"/>
      <c r="G261" s="11"/>
      <c r="H261" s="11"/>
      <c r="I261" s="11"/>
      <c r="J261" s="11"/>
      <c r="K261" s="27"/>
      <c r="L261" s="11"/>
      <c r="M261" s="11"/>
    </row>
    <row r="262" spans="1:13" ht="15" customHeight="1">
      <c r="A262" s="27"/>
      <c r="B262" s="11"/>
      <c r="C262" s="11"/>
      <c r="D262" s="11"/>
      <c r="E262" s="11"/>
      <c r="F262" s="27"/>
      <c r="G262" s="11"/>
      <c r="H262" s="11"/>
      <c r="I262" s="11"/>
      <c r="J262" s="11"/>
      <c r="K262" s="27"/>
      <c r="L262" s="11"/>
      <c r="M262" s="11"/>
    </row>
    <row r="263" spans="1:13" ht="15" customHeight="1">
      <c r="A263" s="27"/>
      <c r="B263" s="11"/>
      <c r="C263" s="11"/>
      <c r="D263" s="11"/>
      <c r="E263" s="11"/>
      <c r="F263" s="27"/>
      <c r="G263" s="11"/>
      <c r="H263" s="11"/>
      <c r="I263" s="11"/>
      <c r="J263" s="11"/>
      <c r="K263" s="27"/>
      <c r="L263" s="11"/>
      <c r="M263" s="11"/>
    </row>
    <row r="264" spans="1:13" ht="15" customHeight="1">
      <c r="A264" s="27"/>
      <c r="B264" s="11"/>
      <c r="C264" s="11"/>
      <c r="D264" s="11"/>
      <c r="E264" s="11"/>
      <c r="F264" s="27"/>
      <c r="G264" s="11"/>
      <c r="H264" s="11"/>
      <c r="I264" s="11"/>
      <c r="J264" s="11"/>
      <c r="K264" s="27"/>
      <c r="L264" s="11"/>
      <c r="M264" s="11"/>
    </row>
    <row r="265" spans="1:13" ht="15" customHeight="1">
      <c r="A265" s="27"/>
      <c r="B265" s="11"/>
      <c r="C265" s="11"/>
      <c r="D265" s="11"/>
      <c r="E265" s="11"/>
      <c r="F265" s="27"/>
      <c r="G265" s="11"/>
      <c r="H265" s="11"/>
      <c r="I265" s="11"/>
      <c r="J265" s="11"/>
      <c r="K265" s="27"/>
      <c r="L265" s="11"/>
      <c r="M265" s="11"/>
    </row>
    <row r="266" spans="1:13" ht="15" customHeight="1">
      <c r="A266" s="27"/>
      <c r="B266" s="11"/>
      <c r="C266" s="11"/>
      <c r="D266" s="11"/>
      <c r="E266" s="11"/>
      <c r="F266" s="27"/>
      <c r="G266" s="11"/>
      <c r="H266" s="11"/>
      <c r="I266" s="11"/>
      <c r="J266" s="11"/>
      <c r="K266" s="27"/>
      <c r="L266" s="11"/>
      <c r="M266" s="11"/>
    </row>
    <row r="267" spans="1:13" ht="15" customHeight="1">
      <c r="A267" s="27"/>
      <c r="B267" s="11"/>
      <c r="C267" s="11"/>
      <c r="D267" s="11"/>
      <c r="E267" s="11"/>
      <c r="F267" s="27"/>
      <c r="G267" s="11"/>
      <c r="H267" s="11"/>
      <c r="I267" s="11"/>
      <c r="J267" s="11"/>
      <c r="K267" s="27"/>
      <c r="L267" s="11"/>
      <c r="M267" s="11"/>
    </row>
    <row r="268" spans="1:13" ht="15" customHeight="1">
      <c r="A268" s="27"/>
      <c r="B268" s="11"/>
      <c r="C268" s="11"/>
      <c r="D268" s="11"/>
      <c r="E268" s="11"/>
      <c r="F268" s="27"/>
      <c r="G268" s="11"/>
      <c r="H268" s="11"/>
      <c r="I268" s="11"/>
      <c r="J268" s="11"/>
      <c r="K268" s="27"/>
      <c r="L268" s="11"/>
      <c r="M268" s="11"/>
    </row>
    <row r="269" spans="1:13" ht="15" customHeight="1">
      <c r="A269" s="27"/>
      <c r="B269" s="11"/>
      <c r="C269" s="11"/>
      <c r="D269" s="11"/>
      <c r="E269" s="11"/>
      <c r="F269" s="27"/>
      <c r="G269" s="11"/>
      <c r="H269" s="11"/>
      <c r="I269" s="11"/>
      <c r="J269" s="11"/>
      <c r="K269" s="27"/>
      <c r="L269" s="11"/>
      <c r="M269" s="11"/>
    </row>
    <row r="270" spans="1:13" ht="15" customHeight="1">
      <c r="A270" s="27"/>
      <c r="B270" s="11"/>
      <c r="C270" s="11"/>
      <c r="D270" s="11"/>
      <c r="E270" s="11"/>
      <c r="F270" s="27"/>
      <c r="G270" s="11"/>
      <c r="H270" s="11"/>
      <c r="I270" s="11"/>
      <c r="J270" s="11"/>
      <c r="K270" s="27"/>
      <c r="L270" s="11"/>
      <c r="M270" s="11"/>
    </row>
    <row r="271" spans="1:13" ht="15" customHeight="1">
      <c r="A271" s="27"/>
      <c r="B271" s="11"/>
      <c r="C271" s="11"/>
      <c r="D271" s="11"/>
      <c r="E271" s="11"/>
      <c r="F271" s="27"/>
      <c r="G271" s="11"/>
      <c r="H271" s="11"/>
      <c r="I271" s="11"/>
      <c r="J271" s="11"/>
      <c r="K271" s="27"/>
      <c r="L271" s="11"/>
      <c r="M271" s="11"/>
    </row>
    <row r="272" spans="1:13" ht="15" customHeight="1">
      <c r="A272" s="27"/>
      <c r="B272" s="11"/>
      <c r="C272" s="11"/>
      <c r="D272" s="11"/>
      <c r="E272" s="11"/>
      <c r="F272" s="27"/>
      <c r="G272" s="11"/>
      <c r="H272" s="11"/>
      <c r="I272" s="11"/>
      <c r="J272" s="11"/>
      <c r="K272" s="27"/>
      <c r="L272" s="11"/>
      <c r="M272" s="11"/>
    </row>
    <row r="273" spans="1:13" ht="15" customHeight="1">
      <c r="A273" s="27"/>
      <c r="B273" s="11"/>
      <c r="C273" s="11"/>
      <c r="D273" s="11"/>
      <c r="E273" s="11"/>
      <c r="F273" s="27"/>
      <c r="G273" s="11"/>
      <c r="H273" s="11"/>
      <c r="I273" s="11"/>
      <c r="J273" s="11"/>
      <c r="K273" s="27"/>
      <c r="L273" s="11"/>
      <c r="M273" s="11"/>
    </row>
    <row r="274" spans="1:13" ht="15" customHeight="1">
      <c r="A274" s="27"/>
      <c r="B274" s="11"/>
      <c r="C274" s="11"/>
      <c r="D274" s="11"/>
      <c r="E274" s="11"/>
      <c r="F274" s="27"/>
      <c r="G274" s="11"/>
      <c r="H274" s="11"/>
      <c r="I274" s="11"/>
      <c r="J274" s="11"/>
      <c r="K274" s="27"/>
      <c r="L274" s="11"/>
      <c r="M274" s="11"/>
    </row>
    <row r="275" spans="1:13" ht="15" customHeight="1">
      <c r="A275" s="27"/>
      <c r="B275" s="11"/>
      <c r="C275" s="11"/>
      <c r="D275" s="11"/>
      <c r="E275" s="11"/>
      <c r="F275" s="27"/>
      <c r="G275" s="11"/>
      <c r="H275" s="11"/>
      <c r="I275" s="11"/>
      <c r="J275" s="11"/>
      <c r="K275" s="27"/>
      <c r="L275" s="11"/>
      <c r="M275" s="11"/>
    </row>
    <row r="276" spans="1:13" ht="15" customHeight="1">
      <c r="A276" s="27"/>
      <c r="B276" s="11"/>
      <c r="C276" s="11"/>
      <c r="D276" s="11"/>
      <c r="E276" s="11"/>
      <c r="F276" s="27"/>
      <c r="G276" s="11"/>
      <c r="H276" s="11"/>
      <c r="I276" s="11"/>
      <c r="J276" s="11"/>
      <c r="K276" s="27"/>
      <c r="L276" s="11"/>
      <c r="M276" s="11"/>
    </row>
    <row r="277" spans="1:13" ht="15" customHeight="1">
      <c r="A277" s="27"/>
      <c r="B277" s="11"/>
      <c r="C277" s="11"/>
      <c r="D277" s="11"/>
      <c r="E277" s="11"/>
      <c r="F277" s="27"/>
      <c r="G277" s="11"/>
      <c r="H277" s="11"/>
      <c r="I277" s="11"/>
      <c r="J277" s="11"/>
      <c r="K277" s="27"/>
      <c r="L277" s="11"/>
      <c r="M277" s="11"/>
    </row>
    <row r="278" spans="1:13" ht="15" customHeight="1">
      <c r="A278" s="27"/>
      <c r="B278" s="11"/>
      <c r="C278" s="11"/>
      <c r="D278" s="11"/>
      <c r="E278" s="11"/>
      <c r="F278" s="27"/>
      <c r="G278" s="11"/>
      <c r="H278" s="11"/>
      <c r="I278" s="11"/>
      <c r="J278" s="11"/>
      <c r="K278" s="27"/>
      <c r="L278" s="11"/>
      <c r="M278" s="11"/>
    </row>
    <row r="279" spans="1:13" ht="15" customHeight="1">
      <c r="A279" s="27"/>
      <c r="B279" s="11"/>
      <c r="C279" s="11"/>
      <c r="D279" s="11"/>
      <c r="E279" s="11"/>
      <c r="F279" s="27"/>
      <c r="G279" s="11"/>
      <c r="H279" s="11"/>
      <c r="I279" s="11"/>
      <c r="J279" s="11"/>
      <c r="K279" s="27"/>
      <c r="L279" s="11"/>
      <c r="M279" s="11"/>
    </row>
    <row r="280" spans="1:13" ht="15" customHeight="1">
      <c r="A280" s="27"/>
      <c r="B280" s="11"/>
      <c r="C280" s="11"/>
      <c r="D280" s="11"/>
      <c r="E280" s="11"/>
      <c r="F280" s="27"/>
      <c r="G280" s="11"/>
      <c r="H280" s="11"/>
      <c r="I280" s="11"/>
      <c r="J280" s="11"/>
      <c r="K280" s="27"/>
      <c r="L280" s="11"/>
      <c r="M280" s="11"/>
    </row>
    <row r="281" spans="1:13" ht="15" customHeight="1">
      <c r="A281" s="27"/>
      <c r="B281" s="11"/>
      <c r="C281" s="11"/>
      <c r="D281" s="11"/>
      <c r="E281" s="11"/>
      <c r="F281" s="27"/>
      <c r="G281" s="11"/>
      <c r="H281" s="11"/>
      <c r="I281" s="11"/>
      <c r="J281" s="11"/>
      <c r="K281" s="27"/>
      <c r="L281" s="11"/>
      <c r="M281" s="11"/>
    </row>
    <row r="282" spans="1:13" ht="15" customHeight="1">
      <c r="A282" s="27"/>
      <c r="B282" s="11"/>
      <c r="C282" s="11"/>
      <c r="D282" s="11"/>
      <c r="E282" s="11"/>
      <c r="F282" s="27"/>
      <c r="G282" s="11"/>
      <c r="H282" s="11"/>
      <c r="I282" s="11"/>
      <c r="J282" s="11"/>
      <c r="K282" s="27"/>
      <c r="L282" s="11"/>
      <c r="M282" s="11"/>
    </row>
    <row r="283" spans="1:13" ht="15" customHeight="1">
      <c r="A283" s="27"/>
      <c r="B283" s="11"/>
      <c r="C283" s="11"/>
      <c r="D283" s="11"/>
      <c r="E283" s="11"/>
      <c r="F283" s="27"/>
      <c r="G283" s="11"/>
      <c r="H283" s="11"/>
      <c r="I283" s="11"/>
      <c r="J283" s="11"/>
      <c r="K283" s="27"/>
      <c r="L283" s="11"/>
      <c r="M283" s="11"/>
    </row>
    <row r="284" spans="1:13" ht="15" customHeight="1">
      <c r="A284" s="27"/>
      <c r="B284" s="11"/>
      <c r="C284" s="11"/>
      <c r="D284" s="11"/>
      <c r="E284" s="11"/>
      <c r="F284" s="27"/>
      <c r="G284" s="11"/>
      <c r="H284" s="11"/>
      <c r="I284" s="11"/>
      <c r="J284" s="11"/>
      <c r="K284" s="27"/>
      <c r="L284" s="11"/>
      <c r="M284" s="11"/>
    </row>
    <row r="285" spans="1:13" ht="15" customHeight="1">
      <c r="A285" s="27"/>
      <c r="B285" s="11"/>
      <c r="C285" s="11"/>
      <c r="D285" s="11"/>
      <c r="E285" s="11"/>
      <c r="F285" s="27"/>
      <c r="G285" s="11"/>
      <c r="H285" s="11"/>
      <c r="I285" s="11"/>
      <c r="J285" s="11"/>
      <c r="K285" s="27"/>
      <c r="L285" s="11"/>
      <c r="M285" s="11"/>
    </row>
    <row r="286" spans="1:13" ht="15" customHeight="1">
      <c r="A286" s="27"/>
      <c r="B286" s="11"/>
      <c r="C286" s="11"/>
      <c r="D286" s="11"/>
      <c r="E286" s="11"/>
      <c r="F286" s="27"/>
      <c r="G286" s="11"/>
      <c r="H286" s="11"/>
      <c r="I286" s="11"/>
      <c r="J286" s="11"/>
      <c r="K286" s="27"/>
      <c r="L286" s="11"/>
      <c r="M286" s="11"/>
    </row>
    <row r="287" spans="1:13" ht="15" customHeight="1">
      <c r="A287" s="27"/>
      <c r="B287" s="11"/>
      <c r="C287" s="11"/>
      <c r="D287" s="11"/>
      <c r="E287" s="11"/>
      <c r="F287" s="27"/>
      <c r="G287" s="11"/>
      <c r="H287" s="11"/>
      <c r="I287" s="11"/>
      <c r="J287" s="11"/>
      <c r="K287" s="27"/>
      <c r="L287" s="11"/>
      <c r="M287" s="11"/>
    </row>
    <row r="288" spans="1:13" ht="15" customHeight="1">
      <c r="A288" s="27"/>
      <c r="B288" s="11"/>
      <c r="C288" s="11"/>
      <c r="D288" s="11"/>
      <c r="E288" s="11"/>
      <c r="F288" s="27"/>
      <c r="G288" s="11"/>
      <c r="H288" s="11"/>
      <c r="I288" s="11"/>
      <c r="J288" s="11"/>
      <c r="K288" s="27"/>
      <c r="L288" s="11"/>
      <c r="M288" s="11"/>
    </row>
    <row r="289" spans="1:13" ht="15" customHeight="1">
      <c r="A289" s="27"/>
      <c r="B289" s="11"/>
      <c r="C289" s="11"/>
      <c r="D289" s="11"/>
      <c r="E289" s="11"/>
      <c r="F289" s="27"/>
      <c r="G289" s="11"/>
      <c r="H289" s="11"/>
      <c r="I289" s="11"/>
      <c r="J289" s="11"/>
      <c r="K289" s="27"/>
      <c r="L289" s="11"/>
      <c r="M289" s="11"/>
    </row>
    <row r="290" spans="1:13" ht="15" customHeight="1">
      <c r="A290" s="27"/>
      <c r="B290" s="11"/>
      <c r="C290" s="11"/>
      <c r="D290" s="11"/>
      <c r="E290" s="11"/>
      <c r="F290" s="27"/>
      <c r="G290" s="11"/>
      <c r="H290" s="11"/>
      <c r="I290" s="11"/>
      <c r="J290" s="11"/>
      <c r="K290" s="27"/>
      <c r="L290" s="11"/>
      <c r="M290" s="11"/>
    </row>
    <row r="291" spans="1:13" ht="15" customHeight="1">
      <c r="A291" s="27"/>
      <c r="B291" s="11"/>
      <c r="C291" s="11"/>
      <c r="D291" s="11"/>
      <c r="E291" s="11"/>
      <c r="F291" s="27"/>
      <c r="G291" s="11"/>
      <c r="H291" s="11"/>
      <c r="I291" s="11"/>
      <c r="J291" s="11"/>
      <c r="K291" s="27"/>
      <c r="L291" s="11"/>
      <c r="M291" s="11"/>
    </row>
    <row r="292" spans="1:13" ht="15" customHeight="1">
      <c r="A292" s="27"/>
      <c r="B292" s="11"/>
      <c r="C292" s="11"/>
      <c r="D292" s="11"/>
      <c r="E292" s="11"/>
      <c r="F292" s="27"/>
      <c r="G292" s="11"/>
      <c r="H292" s="11"/>
      <c r="I292" s="11"/>
      <c r="J292" s="11"/>
      <c r="K292" s="27"/>
      <c r="L292" s="11"/>
      <c r="M292" s="11"/>
    </row>
    <row r="293" spans="1:13" ht="15" customHeight="1">
      <c r="A293" s="27"/>
      <c r="B293" s="11"/>
      <c r="C293" s="11"/>
      <c r="D293" s="11"/>
      <c r="E293" s="11"/>
      <c r="F293" s="27"/>
      <c r="G293" s="11"/>
      <c r="H293" s="11"/>
      <c r="I293" s="11"/>
      <c r="J293" s="11"/>
      <c r="K293" s="27"/>
      <c r="L293" s="11"/>
      <c r="M293" s="11"/>
    </row>
    <row r="294" spans="1:13" ht="15" customHeight="1">
      <c r="A294" s="27"/>
      <c r="B294" s="11"/>
      <c r="C294" s="11"/>
      <c r="D294" s="11"/>
      <c r="E294" s="11"/>
      <c r="F294" s="27"/>
      <c r="G294" s="11"/>
      <c r="H294" s="11"/>
      <c r="I294" s="11"/>
      <c r="J294" s="11"/>
      <c r="K294" s="27"/>
      <c r="L294" s="11"/>
      <c r="M294" s="11"/>
    </row>
    <row r="295" spans="1:13" ht="15" customHeight="1">
      <c r="A295" s="27"/>
      <c r="B295" s="11"/>
      <c r="C295" s="11"/>
      <c r="D295" s="11"/>
      <c r="E295" s="11"/>
      <c r="F295" s="27"/>
      <c r="G295" s="11"/>
      <c r="H295" s="11"/>
      <c r="I295" s="11"/>
      <c r="J295" s="11"/>
      <c r="K295" s="27"/>
      <c r="L295" s="11"/>
      <c r="M295" s="11"/>
    </row>
    <row r="296" spans="1:13" ht="15" customHeight="1">
      <c r="A296" s="27"/>
      <c r="B296" s="11"/>
      <c r="C296" s="11"/>
      <c r="D296" s="11"/>
      <c r="E296" s="11"/>
      <c r="F296" s="27"/>
      <c r="G296" s="11"/>
      <c r="H296" s="11"/>
      <c r="I296" s="11"/>
      <c r="J296" s="11"/>
      <c r="K296" s="27"/>
      <c r="L296" s="11"/>
      <c r="M296" s="11"/>
    </row>
    <row r="297" spans="1:13" ht="15" customHeight="1">
      <c r="A297" s="27"/>
      <c r="B297" s="11"/>
      <c r="C297" s="11"/>
      <c r="D297" s="11"/>
      <c r="E297" s="11"/>
      <c r="F297" s="27"/>
      <c r="G297" s="11"/>
      <c r="H297" s="11"/>
      <c r="I297" s="11"/>
      <c r="J297" s="11"/>
      <c r="K297" s="27"/>
      <c r="L297" s="11"/>
      <c r="M297" s="11"/>
    </row>
    <row r="298" spans="1:13" ht="15" customHeight="1">
      <c r="A298" s="27"/>
      <c r="B298" s="11"/>
      <c r="C298" s="11"/>
      <c r="D298" s="11"/>
      <c r="E298" s="11"/>
      <c r="F298" s="27"/>
      <c r="G298" s="11"/>
      <c r="H298" s="11"/>
      <c r="I298" s="11"/>
      <c r="J298" s="11"/>
      <c r="K298" s="27"/>
      <c r="L298" s="11"/>
      <c r="M298" s="11"/>
    </row>
    <row r="299" spans="1:13" ht="15" customHeight="1">
      <c r="A299" s="27"/>
      <c r="B299" s="11"/>
      <c r="C299" s="11"/>
      <c r="D299" s="11"/>
      <c r="E299" s="11"/>
      <c r="F299" s="27"/>
      <c r="G299" s="11"/>
      <c r="H299" s="11"/>
      <c r="I299" s="11"/>
      <c r="J299" s="11"/>
      <c r="K299" s="27"/>
      <c r="L299" s="11"/>
      <c r="M299" s="11"/>
    </row>
    <row r="300" spans="1:13" ht="15" customHeight="1">
      <c r="A300" s="27"/>
      <c r="B300" s="11"/>
      <c r="C300" s="11"/>
      <c r="D300" s="11"/>
      <c r="E300" s="11"/>
      <c r="F300" s="27"/>
      <c r="G300" s="11"/>
      <c r="H300" s="11"/>
      <c r="I300" s="11"/>
      <c r="J300" s="11"/>
      <c r="K300" s="27"/>
      <c r="L300" s="11"/>
      <c r="M300" s="11"/>
    </row>
    <row r="301" spans="1:13" ht="15" customHeight="1">
      <c r="A301" s="27"/>
      <c r="B301" s="11"/>
      <c r="C301" s="11"/>
      <c r="D301" s="11"/>
      <c r="E301" s="11"/>
      <c r="F301" s="27"/>
      <c r="G301" s="11"/>
      <c r="H301" s="11"/>
      <c r="I301" s="11"/>
      <c r="J301" s="11"/>
      <c r="K301" s="27"/>
      <c r="L301" s="11"/>
      <c r="M301" s="11"/>
    </row>
    <row r="302" spans="1:13" ht="15" customHeight="1">
      <c r="A302" s="27"/>
      <c r="B302" s="11"/>
      <c r="C302" s="11"/>
      <c r="D302" s="11"/>
      <c r="E302" s="11"/>
      <c r="F302" s="27"/>
      <c r="G302" s="11"/>
      <c r="H302" s="11"/>
      <c r="I302" s="11"/>
      <c r="J302" s="11"/>
      <c r="K302" s="27"/>
      <c r="L302" s="11"/>
      <c r="M302" s="11"/>
    </row>
    <row r="303" spans="1:13" ht="15" customHeight="1">
      <c r="A303" s="27"/>
      <c r="B303" s="11"/>
      <c r="C303" s="11"/>
      <c r="D303" s="11"/>
      <c r="E303" s="11"/>
      <c r="F303" s="27"/>
      <c r="G303" s="11"/>
      <c r="H303" s="11"/>
      <c r="I303" s="11"/>
      <c r="J303" s="11"/>
      <c r="K303" s="27"/>
      <c r="L303" s="11"/>
      <c r="M303" s="11"/>
    </row>
    <row r="304" spans="1:13" ht="15" customHeight="1">
      <c r="A304" s="27"/>
      <c r="B304" s="11"/>
      <c r="C304" s="11"/>
      <c r="D304" s="11"/>
      <c r="E304" s="11"/>
      <c r="F304" s="27"/>
      <c r="G304" s="11"/>
      <c r="H304" s="11"/>
      <c r="I304" s="11"/>
      <c r="J304" s="11"/>
      <c r="K304" s="27"/>
      <c r="L304" s="11"/>
      <c r="M304" s="11"/>
    </row>
    <row r="305" spans="1:13" ht="15" customHeight="1">
      <c r="A305" s="27"/>
      <c r="B305" s="11"/>
      <c r="C305" s="11"/>
      <c r="D305" s="11"/>
      <c r="E305" s="11"/>
      <c r="F305" s="27"/>
      <c r="G305" s="11"/>
      <c r="H305" s="11"/>
      <c r="I305" s="11"/>
      <c r="J305" s="11"/>
      <c r="K305" s="27"/>
      <c r="L305" s="11"/>
      <c r="M305" s="11"/>
    </row>
    <row r="306" spans="1:13" ht="15" customHeight="1">
      <c r="A306" s="27"/>
      <c r="B306" s="11"/>
      <c r="C306" s="11"/>
      <c r="D306" s="11"/>
      <c r="E306" s="11"/>
      <c r="F306" s="27"/>
      <c r="G306" s="11"/>
      <c r="H306" s="11"/>
      <c r="I306" s="11"/>
      <c r="J306" s="11"/>
      <c r="K306" s="27"/>
      <c r="L306" s="11"/>
      <c r="M306" s="11"/>
    </row>
    <row r="307" spans="1:13" ht="15" customHeight="1">
      <c r="A307" s="27"/>
      <c r="B307" s="11"/>
      <c r="C307" s="11"/>
      <c r="D307" s="11"/>
      <c r="E307" s="11"/>
      <c r="F307" s="27"/>
      <c r="G307" s="11"/>
      <c r="H307" s="11"/>
      <c r="I307" s="11"/>
      <c r="J307" s="11"/>
      <c r="K307" s="27"/>
      <c r="L307" s="11"/>
      <c r="M307" s="11"/>
    </row>
    <row r="308" spans="1:13" ht="15" customHeight="1">
      <c r="A308" s="27"/>
      <c r="B308" s="11"/>
      <c r="C308" s="11"/>
      <c r="D308" s="11"/>
      <c r="E308" s="11"/>
      <c r="F308" s="27"/>
      <c r="G308" s="11"/>
      <c r="H308" s="11"/>
      <c r="I308" s="11"/>
      <c r="J308" s="11"/>
      <c r="K308" s="27"/>
      <c r="L308" s="11"/>
      <c r="M308" s="11"/>
    </row>
    <row r="309" spans="1:13" ht="15" customHeight="1">
      <c r="A309" s="27"/>
      <c r="B309" s="11"/>
      <c r="C309" s="11"/>
      <c r="D309" s="11"/>
      <c r="E309" s="11"/>
      <c r="F309" s="27"/>
      <c r="G309" s="11"/>
      <c r="H309" s="11"/>
      <c r="I309" s="11"/>
      <c r="J309" s="11"/>
      <c r="K309" s="27"/>
      <c r="L309" s="11"/>
      <c r="M309" s="11"/>
    </row>
    <row r="310" spans="1:13" ht="15" customHeight="1">
      <c r="A310" s="27"/>
      <c r="B310" s="11"/>
      <c r="C310" s="11"/>
      <c r="D310" s="11"/>
      <c r="E310" s="11"/>
      <c r="F310" s="27"/>
      <c r="G310" s="11"/>
      <c r="H310" s="11"/>
      <c r="I310" s="11"/>
      <c r="J310" s="11"/>
      <c r="K310" s="27"/>
      <c r="L310" s="11"/>
      <c r="M310" s="11"/>
    </row>
    <row r="311" spans="1:13" ht="15" customHeight="1">
      <c r="A311" s="27"/>
      <c r="B311" s="11"/>
      <c r="C311" s="11"/>
      <c r="D311" s="11"/>
      <c r="E311" s="11"/>
      <c r="F311" s="27"/>
      <c r="G311" s="11"/>
      <c r="H311" s="11"/>
      <c r="I311" s="11"/>
      <c r="J311" s="11"/>
      <c r="K311" s="27"/>
      <c r="L311" s="11"/>
      <c r="M311" s="11"/>
    </row>
    <row r="312" spans="1:13" ht="15" customHeight="1">
      <c r="A312" s="27"/>
      <c r="B312" s="11"/>
      <c r="C312" s="11"/>
      <c r="D312" s="11"/>
      <c r="E312" s="11"/>
      <c r="F312" s="27"/>
      <c r="G312" s="11"/>
      <c r="H312" s="11"/>
      <c r="I312" s="11"/>
      <c r="J312" s="11"/>
      <c r="K312" s="27"/>
      <c r="L312" s="11"/>
      <c r="M312" s="11"/>
    </row>
    <row r="313" spans="1:13" ht="15" customHeight="1">
      <c r="A313" s="27"/>
      <c r="B313" s="11"/>
      <c r="C313" s="11"/>
      <c r="D313" s="11"/>
      <c r="E313" s="11"/>
      <c r="F313" s="27"/>
      <c r="G313" s="11"/>
      <c r="H313" s="11"/>
      <c r="I313" s="11"/>
      <c r="J313" s="11"/>
      <c r="K313" s="27"/>
      <c r="L313" s="11"/>
      <c r="M313" s="11"/>
    </row>
    <row r="314" spans="1:13" ht="15" customHeight="1">
      <c r="A314" s="27"/>
      <c r="B314" s="11"/>
      <c r="C314" s="11"/>
      <c r="D314" s="11"/>
      <c r="E314" s="11"/>
      <c r="F314" s="27"/>
      <c r="G314" s="11"/>
      <c r="H314" s="11"/>
      <c r="I314" s="11"/>
      <c r="J314" s="11"/>
      <c r="K314" s="27"/>
      <c r="L314" s="11"/>
      <c r="M314" s="11"/>
    </row>
    <row r="315" spans="1:13" ht="15" customHeight="1">
      <c r="A315" s="27"/>
      <c r="B315" s="11"/>
      <c r="C315" s="11"/>
      <c r="D315" s="11"/>
      <c r="E315" s="11"/>
      <c r="F315" s="27"/>
      <c r="G315" s="11"/>
      <c r="H315" s="11"/>
      <c r="I315" s="11"/>
      <c r="J315" s="11"/>
      <c r="K315" s="27"/>
      <c r="L315" s="11"/>
      <c r="M315" s="11"/>
    </row>
    <row r="316" spans="1:13" ht="15" customHeight="1">
      <c r="A316" s="27"/>
      <c r="B316" s="11"/>
      <c r="C316" s="11"/>
      <c r="D316" s="11"/>
      <c r="E316" s="11"/>
      <c r="F316" s="27"/>
      <c r="G316" s="11"/>
      <c r="H316" s="11"/>
      <c r="I316" s="11"/>
      <c r="J316" s="11"/>
      <c r="K316" s="27"/>
      <c r="L316" s="11"/>
      <c r="M316" s="11"/>
    </row>
    <row r="317" spans="1:13" ht="15" customHeight="1">
      <c r="A317" s="27"/>
      <c r="B317" s="11"/>
      <c r="C317" s="11"/>
      <c r="D317" s="11"/>
      <c r="E317" s="11"/>
      <c r="F317" s="27"/>
      <c r="G317" s="11"/>
      <c r="H317" s="11"/>
      <c r="I317" s="11"/>
      <c r="J317" s="11"/>
      <c r="K317" s="27"/>
      <c r="L317" s="11"/>
      <c r="M317" s="11"/>
    </row>
    <row r="318" spans="1:13" ht="15" customHeight="1">
      <c r="A318" s="27"/>
      <c r="B318" s="11"/>
      <c r="C318" s="11"/>
      <c r="D318" s="11"/>
      <c r="E318" s="11"/>
      <c r="F318" s="27"/>
      <c r="G318" s="11"/>
      <c r="H318" s="11"/>
      <c r="I318" s="11"/>
      <c r="J318" s="11"/>
      <c r="K318" s="27"/>
      <c r="L318" s="11"/>
      <c r="M318" s="11"/>
    </row>
    <row r="319" spans="1:13" ht="15" customHeight="1">
      <c r="A319" s="27"/>
      <c r="B319" s="11"/>
      <c r="C319" s="11"/>
      <c r="D319" s="11"/>
      <c r="E319" s="11"/>
      <c r="F319" s="27"/>
      <c r="G319" s="11"/>
      <c r="H319" s="11"/>
      <c r="I319" s="11"/>
      <c r="J319" s="11"/>
      <c r="K319" s="27"/>
      <c r="L319" s="11"/>
      <c r="M319" s="11"/>
    </row>
    <row r="320" spans="1:13" ht="15" customHeight="1">
      <c r="A320" s="27"/>
      <c r="B320" s="11"/>
      <c r="C320" s="11"/>
      <c r="D320" s="11"/>
      <c r="E320" s="11"/>
      <c r="F320" s="27"/>
      <c r="G320" s="11"/>
      <c r="H320" s="11"/>
      <c r="I320" s="11"/>
      <c r="J320" s="11"/>
      <c r="K320" s="27"/>
      <c r="L320" s="11"/>
      <c r="M320" s="11"/>
    </row>
    <row r="321" spans="1:13" ht="15" customHeight="1">
      <c r="A321" s="27"/>
      <c r="B321" s="11"/>
      <c r="C321" s="11"/>
      <c r="D321" s="11"/>
      <c r="E321" s="11"/>
      <c r="F321" s="27"/>
      <c r="G321" s="11"/>
      <c r="H321" s="11"/>
      <c r="I321" s="11"/>
      <c r="J321" s="11"/>
      <c r="K321" s="27"/>
      <c r="L321" s="11"/>
      <c r="M321" s="11"/>
    </row>
    <row r="322" spans="1:13" ht="15" customHeight="1">
      <c r="A322" s="27"/>
      <c r="B322" s="11"/>
      <c r="C322" s="11"/>
      <c r="D322" s="11"/>
      <c r="E322" s="11"/>
      <c r="F322" s="27"/>
      <c r="G322" s="11"/>
      <c r="H322" s="11"/>
      <c r="I322" s="11"/>
      <c r="J322" s="11"/>
      <c r="K322" s="27"/>
      <c r="L322" s="11"/>
      <c r="M322" s="11"/>
    </row>
    <row r="323" spans="1:13" ht="15" customHeight="1">
      <c r="A323" s="27"/>
      <c r="B323" s="11"/>
      <c r="C323" s="11"/>
      <c r="D323" s="11"/>
      <c r="E323" s="11"/>
      <c r="F323" s="27"/>
      <c r="G323" s="11"/>
      <c r="H323" s="11"/>
      <c r="I323" s="11"/>
      <c r="J323" s="11"/>
      <c r="K323" s="27"/>
      <c r="L323" s="11"/>
      <c r="M323" s="11"/>
    </row>
    <row r="324" spans="1:13" ht="15" customHeight="1">
      <c r="A324" s="27"/>
      <c r="B324" s="11"/>
      <c r="C324" s="11"/>
      <c r="D324" s="11"/>
      <c r="E324" s="11"/>
      <c r="F324" s="27"/>
      <c r="G324" s="11"/>
      <c r="H324" s="11"/>
      <c r="I324" s="11"/>
      <c r="J324" s="11"/>
      <c r="K324" s="27"/>
      <c r="L324" s="11"/>
      <c r="M324" s="11"/>
    </row>
    <row r="325" spans="1:13" ht="15" customHeight="1">
      <c r="A325" s="27"/>
      <c r="B325" s="11"/>
      <c r="C325" s="11"/>
      <c r="D325" s="11"/>
      <c r="E325" s="11"/>
      <c r="F325" s="27"/>
      <c r="G325" s="11"/>
      <c r="H325" s="11"/>
      <c r="I325" s="11"/>
      <c r="J325" s="11"/>
      <c r="K325" s="27"/>
      <c r="L325" s="11"/>
      <c r="M325" s="11"/>
    </row>
    <row r="326" spans="1:13" ht="15" customHeight="1">
      <c r="A326" s="27"/>
      <c r="B326" s="11"/>
      <c r="C326" s="11"/>
      <c r="D326" s="11"/>
      <c r="E326" s="11"/>
      <c r="F326" s="27"/>
      <c r="G326" s="11"/>
      <c r="H326" s="11"/>
      <c r="I326" s="11"/>
      <c r="J326" s="11"/>
      <c r="K326" s="27"/>
      <c r="L326" s="11"/>
      <c r="M326" s="11"/>
    </row>
    <row r="327" spans="1:13" ht="15" customHeight="1">
      <c r="A327" s="27"/>
      <c r="B327" s="11"/>
      <c r="C327" s="11"/>
      <c r="D327" s="11"/>
      <c r="E327" s="11"/>
      <c r="F327" s="27"/>
      <c r="G327" s="11"/>
      <c r="H327" s="11"/>
      <c r="I327" s="11"/>
      <c r="J327" s="11"/>
      <c r="K327" s="27"/>
      <c r="L327" s="11"/>
      <c r="M327" s="11"/>
    </row>
    <row r="328" spans="1:13" ht="15" customHeight="1">
      <c r="A328" s="27"/>
      <c r="B328" s="11"/>
      <c r="C328" s="11"/>
      <c r="D328" s="11"/>
      <c r="E328" s="11"/>
      <c r="F328" s="27"/>
      <c r="G328" s="11"/>
      <c r="H328" s="11"/>
      <c r="I328" s="11"/>
      <c r="J328" s="11"/>
      <c r="K328" s="27"/>
      <c r="L328" s="11"/>
      <c r="M328" s="11"/>
    </row>
    <row r="329" spans="1:13" ht="15" customHeight="1">
      <c r="A329" s="27"/>
      <c r="B329" s="11"/>
      <c r="C329" s="11"/>
      <c r="D329" s="11"/>
      <c r="E329" s="11"/>
      <c r="F329" s="27"/>
      <c r="G329" s="11"/>
      <c r="H329" s="11"/>
      <c r="I329" s="11"/>
      <c r="J329" s="11"/>
      <c r="K329" s="27"/>
      <c r="L329" s="11"/>
      <c r="M329" s="11"/>
    </row>
    <row r="330" spans="1:13" ht="15" customHeight="1">
      <c r="A330" s="27"/>
      <c r="B330" s="11"/>
      <c r="C330" s="11"/>
      <c r="D330" s="11"/>
      <c r="E330" s="11"/>
      <c r="F330" s="27"/>
      <c r="G330" s="11"/>
      <c r="H330" s="11"/>
      <c r="I330" s="11"/>
      <c r="J330" s="11"/>
      <c r="K330" s="27"/>
      <c r="L330" s="11"/>
      <c r="M330" s="11"/>
    </row>
    <row r="331" spans="1:13" ht="15" customHeight="1">
      <c r="A331" s="27"/>
      <c r="B331" s="11"/>
      <c r="C331" s="11"/>
      <c r="D331" s="11"/>
      <c r="E331" s="11"/>
      <c r="F331" s="27"/>
      <c r="G331" s="11"/>
      <c r="H331" s="11"/>
      <c r="I331" s="11"/>
      <c r="J331" s="11"/>
      <c r="K331" s="27"/>
      <c r="L331" s="11"/>
      <c r="M331" s="11"/>
    </row>
    <row r="332" spans="1:13" ht="15" customHeight="1">
      <c r="A332" s="27"/>
      <c r="B332" s="11"/>
      <c r="C332" s="11"/>
      <c r="D332" s="11"/>
      <c r="E332" s="11"/>
      <c r="F332" s="27"/>
      <c r="G332" s="11"/>
      <c r="H332" s="11"/>
      <c r="I332" s="11"/>
      <c r="J332" s="11"/>
      <c r="K332" s="27"/>
      <c r="L332" s="11"/>
      <c r="M332" s="11"/>
    </row>
    <row r="333" spans="1:13" ht="15" customHeight="1">
      <c r="A333" s="27"/>
      <c r="B333" s="11"/>
      <c r="C333" s="11"/>
      <c r="D333" s="11"/>
      <c r="E333" s="11"/>
      <c r="F333" s="27"/>
      <c r="G333" s="11"/>
      <c r="H333" s="11"/>
      <c r="I333" s="11"/>
      <c r="J333" s="11"/>
      <c r="K333" s="27"/>
      <c r="L333" s="11"/>
      <c r="M333" s="11"/>
    </row>
    <row r="334" spans="1:13" ht="15" customHeight="1">
      <c r="A334" s="27"/>
      <c r="B334" s="11"/>
      <c r="C334" s="11"/>
      <c r="D334" s="11"/>
      <c r="E334" s="11"/>
      <c r="F334" s="27"/>
      <c r="G334" s="11"/>
      <c r="H334" s="11"/>
      <c r="I334" s="11"/>
      <c r="J334" s="11"/>
      <c r="K334" s="27"/>
      <c r="L334" s="11"/>
      <c r="M334" s="11"/>
    </row>
    <row r="335" spans="1:13" ht="15" customHeight="1">
      <c r="A335" s="27"/>
      <c r="B335" s="11"/>
      <c r="C335" s="11"/>
      <c r="D335" s="11"/>
      <c r="E335" s="11"/>
      <c r="F335" s="27"/>
      <c r="G335" s="11"/>
      <c r="H335" s="11"/>
      <c r="I335" s="11"/>
      <c r="J335" s="11"/>
      <c r="K335" s="27"/>
      <c r="L335" s="11"/>
      <c r="M335" s="11"/>
    </row>
    <row r="336" spans="1:13" ht="15" customHeight="1">
      <c r="A336" s="27"/>
      <c r="B336" s="11"/>
      <c r="C336" s="11"/>
      <c r="D336" s="11"/>
      <c r="E336" s="11"/>
      <c r="F336" s="27"/>
      <c r="G336" s="11"/>
      <c r="H336" s="11"/>
      <c r="I336" s="11"/>
      <c r="J336" s="11"/>
      <c r="K336" s="27"/>
      <c r="L336" s="11"/>
      <c r="M336" s="11"/>
    </row>
    <row r="337" spans="1:13" ht="15" customHeight="1">
      <c r="A337" s="27"/>
      <c r="B337" s="11"/>
      <c r="C337" s="11"/>
      <c r="D337" s="11"/>
      <c r="E337" s="11"/>
      <c r="F337" s="27"/>
      <c r="G337" s="11"/>
      <c r="H337" s="11"/>
      <c r="I337" s="11"/>
      <c r="J337" s="11"/>
      <c r="K337" s="27"/>
      <c r="L337" s="11"/>
      <c r="M337" s="11"/>
    </row>
    <row r="338" spans="1:13" ht="15" customHeight="1">
      <c r="A338" s="27"/>
      <c r="B338" s="11"/>
      <c r="C338" s="11"/>
      <c r="D338" s="11"/>
      <c r="E338" s="11"/>
      <c r="F338" s="27"/>
      <c r="G338" s="11"/>
      <c r="H338" s="11"/>
      <c r="I338" s="11"/>
      <c r="J338" s="11"/>
      <c r="K338" s="27"/>
      <c r="L338" s="11"/>
      <c r="M338" s="11"/>
    </row>
    <row r="339" spans="1:13" ht="15" customHeight="1">
      <c r="A339" s="27"/>
      <c r="B339" s="11"/>
      <c r="C339" s="11"/>
      <c r="D339" s="11"/>
      <c r="E339" s="11"/>
      <c r="F339" s="27"/>
      <c r="G339" s="11"/>
      <c r="H339" s="11"/>
      <c r="I339" s="11"/>
      <c r="J339" s="11"/>
      <c r="K339" s="27"/>
      <c r="L339" s="11"/>
      <c r="M339" s="11"/>
    </row>
    <row r="340" spans="1:13" ht="15" customHeight="1">
      <c r="A340" s="27"/>
      <c r="B340" s="11"/>
      <c r="C340" s="11"/>
      <c r="D340" s="11"/>
      <c r="E340" s="11"/>
      <c r="F340" s="27"/>
      <c r="G340" s="11"/>
      <c r="H340" s="11"/>
      <c r="I340" s="11"/>
      <c r="J340" s="11"/>
      <c r="K340" s="27"/>
      <c r="L340" s="11"/>
      <c r="M340" s="11"/>
    </row>
    <row r="341" spans="1:13" ht="15" customHeight="1">
      <c r="A341" s="27"/>
      <c r="B341" s="11"/>
      <c r="C341" s="11"/>
      <c r="D341" s="11"/>
      <c r="E341" s="11"/>
      <c r="F341" s="27"/>
      <c r="G341" s="11"/>
      <c r="H341" s="11"/>
      <c r="I341" s="11"/>
      <c r="J341" s="11"/>
      <c r="K341" s="27"/>
      <c r="L341" s="11"/>
      <c r="M341" s="11"/>
    </row>
    <row r="342" spans="1:13" ht="15" customHeight="1">
      <c r="A342" s="27"/>
      <c r="B342" s="11"/>
      <c r="C342" s="11"/>
      <c r="D342" s="11"/>
      <c r="E342" s="11"/>
      <c r="F342" s="27"/>
      <c r="G342" s="11"/>
      <c r="H342" s="11"/>
      <c r="I342" s="11"/>
      <c r="J342" s="11"/>
      <c r="K342" s="27"/>
      <c r="L342" s="11"/>
      <c r="M342" s="11"/>
    </row>
    <row r="343" spans="1:13" ht="15" customHeight="1">
      <c r="A343" s="27"/>
      <c r="B343" s="11"/>
      <c r="C343" s="11"/>
      <c r="D343" s="11"/>
      <c r="E343" s="11"/>
      <c r="F343" s="27"/>
      <c r="G343" s="11"/>
      <c r="H343" s="11"/>
      <c r="I343" s="11"/>
      <c r="J343" s="11"/>
      <c r="K343" s="27"/>
      <c r="L343" s="11"/>
      <c r="M343" s="11"/>
    </row>
    <row r="344" spans="1:13" ht="15" customHeight="1">
      <c r="A344" s="27"/>
      <c r="B344" s="11"/>
      <c r="C344" s="11"/>
      <c r="D344" s="11"/>
      <c r="E344" s="11"/>
      <c r="F344" s="27"/>
      <c r="G344" s="11"/>
      <c r="H344" s="11"/>
      <c r="I344" s="11"/>
      <c r="J344" s="11"/>
      <c r="K344" s="27"/>
      <c r="L344" s="11"/>
      <c r="M344" s="11"/>
    </row>
    <row r="345" spans="1:13" ht="15" customHeight="1">
      <c r="A345" s="27"/>
      <c r="B345" s="11"/>
      <c r="C345" s="11"/>
      <c r="D345" s="11"/>
      <c r="E345" s="11"/>
      <c r="F345" s="27"/>
      <c r="G345" s="11"/>
      <c r="H345" s="11"/>
      <c r="I345" s="11"/>
      <c r="J345" s="11"/>
      <c r="K345" s="27"/>
      <c r="L345" s="11"/>
      <c r="M345" s="11"/>
    </row>
    <row r="346" spans="1:13" ht="15" customHeight="1">
      <c r="A346" s="27"/>
      <c r="B346" s="11"/>
      <c r="C346" s="11"/>
      <c r="D346" s="11"/>
      <c r="E346" s="11"/>
      <c r="F346" s="27"/>
      <c r="G346" s="11"/>
      <c r="H346" s="11"/>
      <c r="I346" s="11"/>
      <c r="J346" s="11"/>
      <c r="K346" s="27"/>
      <c r="L346" s="11"/>
      <c r="M346" s="11"/>
    </row>
    <row r="347" spans="1:13" ht="15" customHeight="1">
      <c r="A347" s="27"/>
      <c r="B347" s="11"/>
      <c r="C347" s="11"/>
      <c r="D347" s="11"/>
      <c r="E347" s="11"/>
      <c r="F347" s="27"/>
      <c r="G347" s="11"/>
      <c r="H347" s="11"/>
      <c r="I347" s="11"/>
      <c r="J347" s="11"/>
      <c r="K347" s="27"/>
      <c r="L347" s="11"/>
      <c r="M347" s="11"/>
    </row>
    <row r="348" spans="1:13" ht="15" customHeight="1">
      <c r="A348" s="27"/>
      <c r="B348" s="11"/>
      <c r="C348" s="11"/>
      <c r="D348" s="11"/>
      <c r="E348" s="11"/>
      <c r="F348" s="27"/>
      <c r="G348" s="11"/>
      <c r="H348" s="11"/>
      <c r="I348" s="11"/>
      <c r="J348" s="11"/>
      <c r="K348" s="27"/>
      <c r="L348" s="11"/>
      <c r="M348" s="11"/>
    </row>
    <row r="349" spans="1:13" ht="15" customHeight="1">
      <c r="A349" s="27"/>
      <c r="B349" s="11"/>
      <c r="C349" s="11"/>
      <c r="D349" s="11"/>
      <c r="E349" s="11"/>
      <c r="F349" s="27"/>
      <c r="G349" s="11"/>
      <c r="H349" s="11"/>
      <c r="I349" s="11"/>
      <c r="J349" s="11"/>
      <c r="K349" s="27"/>
      <c r="L349" s="11"/>
      <c r="M349" s="11"/>
    </row>
    <row r="350" spans="1:13" ht="15" customHeight="1">
      <c r="A350" s="27"/>
      <c r="B350" s="11"/>
      <c r="C350" s="11"/>
      <c r="D350" s="11"/>
      <c r="E350" s="11"/>
      <c r="F350" s="27"/>
      <c r="G350" s="11"/>
      <c r="H350" s="11"/>
      <c r="I350" s="11"/>
      <c r="J350" s="11"/>
      <c r="K350" s="27"/>
      <c r="L350" s="11"/>
      <c r="M350" s="11"/>
    </row>
    <row r="351" spans="1:13" ht="15" customHeight="1">
      <c r="A351" s="27"/>
      <c r="B351" s="11"/>
      <c r="C351" s="11"/>
      <c r="D351" s="11"/>
      <c r="E351" s="11"/>
      <c r="F351" s="27"/>
      <c r="G351" s="11"/>
      <c r="H351" s="11"/>
      <c r="I351" s="11"/>
      <c r="J351" s="11"/>
      <c r="K351" s="27"/>
      <c r="L351" s="11"/>
      <c r="M351" s="11"/>
    </row>
    <row r="352" spans="1:13" ht="15" customHeight="1">
      <c r="A352" s="27"/>
      <c r="B352" s="11"/>
      <c r="C352" s="11"/>
      <c r="D352" s="11"/>
      <c r="E352" s="11"/>
      <c r="F352" s="27"/>
      <c r="G352" s="11"/>
      <c r="H352" s="11"/>
      <c r="I352" s="11"/>
      <c r="J352" s="11"/>
      <c r="K352" s="27"/>
      <c r="L352" s="11"/>
      <c r="M352" s="11"/>
    </row>
    <row r="353" spans="1:13" ht="15" customHeight="1">
      <c r="A353" s="27"/>
      <c r="B353" s="11"/>
      <c r="C353" s="11"/>
      <c r="D353" s="11"/>
      <c r="E353" s="11"/>
      <c r="F353" s="27"/>
      <c r="G353" s="11"/>
      <c r="H353" s="11"/>
      <c r="I353" s="11"/>
      <c r="J353" s="11"/>
      <c r="K353" s="27"/>
      <c r="L353" s="11"/>
      <c r="M353" s="11"/>
    </row>
    <row r="354" spans="1:13" ht="15" customHeight="1">
      <c r="A354" s="27"/>
      <c r="B354" s="11"/>
      <c r="C354" s="11"/>
      <c r="D354" s="11"/>
      <c r="E354" s="11"/>
      <c r="F354" s="27"/>
      <c r="G354" s="11"/>
      <c r="H354" s="11"/>
      <c r="I354" s="11"/>
      <c r="J354" s="11"/>
      <c r="K354" s="27"/>
      <c r="L354" s="11"/>
      <c r="M354" s="11"/>
    </row>
    <row r="355" spans="1:13" ht="15" customHeight="1">
      <c r="A355" s="27"/>
      <c r="B355" s="11"/>
      <c r="C355" s="11"/>
      <c r="D355" s="11"/>
      <c r="E355" s="11"/>
      <c r="F355" s="27"/>
      <c r="G355" s="11"/>
      <c r="H355" s="11"/>
      <c r="I355" s="11"/>
      <c r="J355" s="11"/>
      <c r="K355" s="27"/>
      <c r="L355" s="11"/>
      <c r="M355" s="11"/>
    </row>
    <row r="356" spans="1:13" ht="15" customHeight="1">
      <c r="A356" s="27"/>
      <c r="B356" s="11"/>
      <c r="C356" s="11"/>
      <c r="D356" s="11"/>
      <c r="E356" s="11"/>
      <c r="F356" s="27"/>
      <c r="G356" s="11"/>
      <c r="H356" s="11"/>
      <c r="I356" s="11"/>
      <c r="J356" s="11"/>
      <c r="K356" s="27"/>
      <c r="L356" s="11"/>
      <c r="M356" s="11"/>
    </row>
    <row r="357" spans="1:13" ht="15" customHeight="1">
      <c r="A357" s="27"/>
      <c r="B357" s="11"/>
      <c r="C357" s="11"/>
      <c r="D357" s="11"/>
      <c r="E357" s="11"/>
      <c r="F357" s="27"/>
      <c r="G357" s="11"/>
      <c r="H357" s="11"/>
      <c r="I357" s="11"/>
      <c r="J357" s="11"/>
      <c r="K357" s="27"/>
      <c r="L357" s="11"/>
      <c r="M357" s="11"/>
    </row>
    <row r="358" spans="1:13" ht="15" customHeight="1">
      <c r="A358" s="27"/>
      <c r="B358" s="11"/>
      <c r="C358" s="11"/>
      <c r="D358" s="11"/>
      <c r="E358" s="11"/>
      <c r="F358" s="27"/>
      <c r="G358" s="11"/>
      <c r="H358" s="11"/>
      <c r="I358" s="11"/>
      <c r="J358" s="11"/>
      <c r="K358" s="27"/>
      <c r="L358" s="11"/>
      <c r="M358" s="11"/>
    </row>
    <row r="359" spans="1:13" ht="15" customHeight="1">
      <c r="A359" s="27"/>
      <c r="B359" s="11"/>
      <c r="C359" s="11"/>
      <c r="D359" s="11"/>
      <c r="E359" s="11"/>
      <c r="F359" s="27"/>
      <c r="G359" s="11"/>
      <c r="H359" s="11"/>
      <c r="I359" s="11"/>
      <c r="J359" s="11"/>
      <c r="K359" s="27"/>
      <c r="L359" s="11"/>
      <c r="M359" s="11"/>
    </row>
    <row r="360" spans="1:13" ht="15" customHeight="1">
      <c r="A360" s="27"/>
      <c r="B360" s="11"/>
      <c r="C360" s="11"/>
      <c r="D360" s="11"/>
      <c r="E360" s="11"/>
      <c r="F360" s="27"/>
      <c r="G360" s="11"/>
      <c r="H360" s="11"/>
      <c r="I360" s="11"/>
      <c r="J360" s="11"/>
      <c r="K360" s="27"/>
      <c r="L360" s="11"/>
      <c r="M360" s="11"/>
    </row>
    <row r="361" spans="1:13" ht="15" customHeight="1">
      <c r="A361" s="27"/>
      <c r="B361" s="11"/>
      <c r="C361" s="11"/>
      <c r="D361" s="11"/>
      <c r="E361" s="11"/>
      <c r="F361" s="27"/>
      <c r="G361" s="11"/>
      <c r="H361" s="11"/>
      <c r="I361" s="11"/>
      <c r="J361" s="11"/>
      <c r="K361" s="27"/>
      <c r="L361" s="11"/>
      <c r="M361" s="11"/>
    </row>
    <row r="362" spans="1:13" ht="15" customHeight="1">
      <c r="A362" s="27"/>
      <c r="B362" s="11"/>
      <c r="C362" s="11"/>
      <c r="D362" s="11"/>
      <c r="E362" s="11"/>
      <c r="F362" s="27"/>
      <c r="G362" s="11"/>
      <c r="H362" s="11"/>
      <c r="I362" s="11"/>
      <c r="J362" s="11"/>
      <c r="K362" s="27"/>
      <c r="L362" s="11"/>
      <c r="M362" s="11"/>
    </row>
    <row r="363" spans="1:13" ht="15" customHeight="1">
      <c r="A363" s="27"/>
      <c r="B363" s="11"/>
      <c r="C363" s="11"/>
      <c r="D363" s="11"/>
      <c r="E363" s="11"/>
      <c r="F363" s="27"/>
      <c r="G363" s="11"/>
      <c r="H363" s="11"/>
      <c r="I363" s="11"/>
      <c r="J363" s="11"/>
      <c r="K363" s="27"/>
      <c r="L363" s="11"/>
      <c r="M363" s="11"/>
    </row>
    <row r="364" spans="1:13" ht="15" customHeight="1">
      <c r="A364" s="27"/>
      <c r="B364" s="11"/>
      <c r="C364" s="11"/>
      <c r="D364" s="11"/>
      <c r="E364" s="11"/>
      <c r="F364" s="27"/>
      <c r="G364" s="11"/>
      <c r="H364" s="11"/>
      <c r="I364" s="11"/>
      <c r="J364" s="11"/>
      <c r="K364" s="27"/>
      <c r="L364" s="11"/>
      <c r="M364" s="11"/>
    </row>
    <row r="365" spans="1:13" ht="15" customHeight="1">
      <c r="A365" s="27"/>
      <c r="B365" s="11"/>
      <c r="C365" s="11"/>
      <c r="D365" s="11"/>
      <c r="E365" s="11"/>
      <c r="F365" s="27"/>
      <c r="G365" s="11"/>
      <c r="H365" s="11"/>
      <c r="I365" s="11"/>
      <c r="J365" s="11"/>
      <c r="K365" s="27"/>
      <c r="L365" s="11"/>
      <c r="M365" s="11"/>
    </row>
    <row r="366" spans="1:13" ht="15" customHeight="1">
      <c r="A366" s="27"/>
      <c r="B366" s="11"/>
      <c r="C366" s="11"/>
      <c r="D366" s="11"/>
      <c r="E366" s="11"/>
      <c r="F366" s="27"/>
      <c r="G366" s="11"/>
      <c r="H366" s="11"/>
      <c r="I366" s="11"/>
      <c r="J366" s="11"/>
      <c r="K366" s="27"/>
      <c r="L366" s="11"/>
      <c r="M366" s="11"/>
    </row>
    <row r="367" spans="1:13" ht="15" customHeight="1">
      <c r="A367" s="27"/>
      <c r="B367" s="11"/>
      <c r="C367" s="11"/>
      <c r="D367" s="11"/>
      <c r="E367" s="11"/>
      <c r="F367" s="27"/>
      <c r="G367" s="11"/>
      <c r="H367" s="11"/>
      <c r="I367" s="11"/>
      <c r="J367" s="11"/>
      <c r="K367" s="27"/>
      <c r="L367" s="11"/>
      <c r="M367" s="11"/>
    </row>
    <row r="368" spans="1:13" ht="15" customHeight="1">
      <c r="A368" s="27"/>
      <c r="B368" s="11"/>
      <c r="C368" s="11"/>
      <c r="D368" s="11"/>
      <c r="E368" s="11"/>
      <c r="F368" s="27"/>
      <c r="G368" s="11"/>
      <c r="H368" s="11"/>
      <c r="I368" s="11"/>
      <c r="J368" s="11"/>
      <c r="K368" s="27"/>
      <c r="L368" s="11"/>
      <c r="M368" s="11"/>
    </row>
    <row r="369" spans="1:13" ht="15" customHeight="1">
      <c r="A369" s="27"/>
      <c r="B369" s="11"/>
      <c r="C369" s="11"/>
      <c r="D369" s="11"/>
      <c r="E369" s="11"/>
      <c r="F369" s="27"/>
      <c r="G369" s="11"/>
      <c r="H369" s="11"/>
      <c r="I369" s="11"/>
      <c r="J369" s="11"/>
      <c r="K369" s="27"/>
      <c r="L369" s="11"/>
      <c r="M369" s="11"/>
    </row>
    <row r="370" spans="1:13" ht="15" customHeight="1">
      <c r="A370" s="27"/>
      <c r="B370" s="11"/>
      <c r="C370" s="11"/>
      <c r="D370" s="11"/>
      <c r="E370" s="11"/>
      <c r="F370" s="27"/>
      <c r="G370" s="11"/>
      <c r="H370" s="11"/>
      <c r="I370" s="11"/>
      <c r="J370" s="11"/>
      <c r="K370" s="27"/>
      <c r="L370" s="11"/>
      <c r="M370" s="11"/>
    </row>
    <row r="371" spans="1:13" ht="15" customHeight="1">
      <c r="A371" s="27"/>
      <c r="B371" s="11"/>
      <c r="C371" s="11"/>
      <c r="D371" s="11"/>
      <c r="E371" s="11"/>
      <c r="F371" s="27"/>
      <c r="G371" s="11"/>
      <c r="H371" s="11"/>
      <c r="I371" s="11"/>
      <c r="J371" s="11"/>
      <c r="K371" s="27"/>
      <c r="L371" s="11"/>
      <c r="M371" s="11"/>
    </row>
    <row r="372" spans="1:13" ht="15" customHeight="1">
      <c r="A372" s="27"/>
      <c r="B372" s="11"/>
      <c r="C372" s="11"/>
      <c r="D372" s="11"/>
      <c r="E372" s="11"/>
      <c r="F372" s="27"/>
      <c r="G372" s="11"/>
      <c r="H372" s="11"/>
      <c r="I372" s="11"/>
      <c r="J372" s="11"/>
      <c r="K372" s="27"/>
      <c r="L372" s="11"/>
      <c r="M372" s="11"/>
    </row>
    <row r="373" spans="1:13" ht="15" customHeight="1">
      <c r="A373" s="27"/>
      <c r="B373" s="11"/>
      <c r="C373" s="11"/>
      <c r="D373" s="11"/>
      <c r="E373" s="11"/>
      <c r="F373" s="27"/>
      <c r="G373" s="11"/>
      <c r="H373" s="11"/>
      <c r="I373" s="11"/>
      <c r="J373" s="11"/>
      <c r="K373" s="27"/>
      <c r="L373" s="11"/>
      <c r="M373" s="11"/>
    </row>
    <row r="374" spans="1:13" ht="15" customHeight="1">
      <c r="A374" s="27"/>
      <c r="B374" s="11"/>
      <c r="C374" s="11"/>
      <c r="D374" s="11"/>
      <c r="E374" s="11"/>
      <c r="F374" s="27"/>
      <c r="G374" s="11"/>
      <c r="H374" s="11"/>
      <c r="I374" s="11"/>
      <c r="J374" s="11"/>
      <c r="K374" s="27"/>
      <c r="L374" s="11"/>
      <c r="M374" s="11"/>
    </row>
    <row r="375" spans="1:13" ht="15" customHeight="1">
      <c r="A375" s="27"/>
      <c r="B375" s="11"/>
      <c r="C375" s="11"/>
      <c r="D375" s="11"/>
      <c r="E375" s="11"/>
      <c r="F375" s="27"/>
      <c r="G375" s="11"/>
      <c r="H375" s="11"/>
      <c r="I375" s="11"/>
      <c r="J375" s="11"/>
      <c r="K375" s="27"/>
      <c r="L375" s="11"/>
      <c r="M375" s="11"/>
    </row>
    <row r="376" spans="1:13" ht="15" customHeight="1">
      <c r="A376" s="27"/>
      <c r="B376" s="11"/>
      <c r="C376" s="11"/>
      <c r="D376" s="11"/>
      <c r="E376" s="11"/>
      <c r="F376" s="27"/>
      <c r="G376" s="11"/>
      <c r="H376" s="11"/>
      <c r="I376" s="11"/>
      <c r="J376" s="11"/>
      <c r="K376" s="27"/>
      <c r="L376" s="11"/>
      <c r="M376" s="11"/>
    </row>
    <row r="377" spans="1:13" ht="15" customHeight="1">
      <c r="A377" s="27"/>
      <c r="B377" s="11"/>
      <c r="C377" s="11"/>
      <c r="D377" s="11"/>
      <c r="E377" s="11"/>
      <c r="F377" s="27"/>
      <c r="G377" s="11"/>
      <c r="H377" s="11"/>
      <c r="I377" s="11"/>
      <c r="J377" s="11"/>
      <c r="K377" s="27"/>
      <c r="L377" s="11"/>
      <c r="M377" s="11"/>
    </row>
    <row r="378" spans="1:13" ht="15" customHeight="1">
      <c r="A378" s="27"/>
      <c r="B378" s="11"/>
      <c r="C378" s="11"/>
      <c r="D378" s="11"/>
      <c r="E378" s="11"/>
      <c r="F378" s="27"/>
      <c r="G378" s="11"/>
      <c r="H378" s="11"/>
      <c r="I378" s="11"/>
      <c r="J378" s="11"/>
      <c r="K378" s="27"/>
      <c r="L378" s="11"/>
      <c r="M378" s="11"/>
    </row>
    <row r="379" spans="1:13" ht="15" customHeight="1">
      <c r="A379" s="27"/>
      <c r="B379" s="11"/>
      <c r="C379" s="11"/>
      <c r="D379" s="11"/>
      <c r="E379" s="11"/>
      <c r="F379" s="27"/>
      <c r="G379" s="11"/>
      <c r="H379" s="11"/>
      <c r="I379" s="11"/>
      <c r="J379" s="11"/>
      <c r="K379" s="27"/>
      <c r="L379" s="11"/>
      <c r="M379" s="11"/>
    </row>
    <row r="380" spans="1:13" ht="15" customHeight="1">
      <c r="A380" s="27"/>
      <c r="B380" s="11"/>
      <c r="C380" s="11"/>
      <c r="D380" s="11"/>
      <c r="E380" s="11"/>
      <c r="F380" s="27"/>
      <c r="G380" s="11"/>
      <c r="H380" s="11"/>
      <c r="I380" s="11"/>
      <c r="J380" s="11"/>
      <c r="K380" s="27"/>
      <c r="L380" s="11"/>
      <c r="M380" s="11"/>
    </row>
    <row r="381" spans="1:13" ht="15" customHeight="1">
      <c r="A381" s="27"/>
      <c r="B381" s="11"/>
      <c r="C381" s="11"/>
      <c r="D381" s="11"/>
      <c r="E381" s="11"/>
      <c r="F381" s="27"/>
      <c r="G381" s="11"/>
      <c r="H381" s="11"/>
      <c r="I381" s="11"/>
      <c r="J381" s="11"/>
      <c r="K381" s="27"/>
      <c r="L381" s="11"/>
      <c r="M381" s="11"/>
    </row>
    <row r="382" spans="1:13" ht="15" customHeight="1">
      <c r="A382" s="27"/>
      <c r="B382" s="11"/>
      <c r="C382" s="11"/>
      <c r="D382" s="11"/>
      <c r="E382" s="11"/>
      <c r="F382" s="27"/>
      <c r="G382" s="11"/>
      <c r="H382" s="11"/>
      <c r="I382" s="11"/>
      <c r="J382" s="11"/>
      <c r="K382" s="27"/>
      <c r="L382" s="11"/>
      <c r="M382" s="11"/>
    </row>
    <row r="383" spans="1:13" ht="15" customHeight="1">
      <c r="A383" s="27"/>
      <c r="B383" s="11"/>
      <c r="C383" s="11"/>
      <c r="D383" s="11"/>
      <c r="E383" s="11"/>
      <c r="F383" s="27"/>
      <c r="G383" s="11"/>
      <c r="H383" s="11"/>
      <c r="I383" s="11"/>
      <c r="J383" s="11"/>
      <c r="K383" s="27"/>
      <c r="L383" s="11"/>
      <c r="M383" s="11"/>
    </row>
    <row r="384" spans="1:13" ht="15" customHeight="1">
      <c r="A384" s="27"/>
      <c r="B384" s="11"/>
      <c r="C384" s="11"/>
      <c r="D384" s="11"/>
      <c r="E384" s="11"/>
      <c r="F384" s="27"/>
      <c r="G384" s="11"/>
      <c r="H384" s="11"/>
      <c r="I384" s="11"/>
      <c r="J384" s="11"/>
      <c r="K384" s="27"/>
      <c r="L384" s="11"/>
      <c r="M384" s="11"/>
    </row>
    <row r="385" spans="1:13" ht="15" customHeight="1">
      <c r="A385" s="27"/>
      <c r="B385" s="11"/>
      <c r="C385" s="11"/>
      <c r="D385" s="11"/>
      <c r="E385" s="11"/>
      <c r="F385" s="27"/>
      <c r="G385" s="11"/>
      <c r="H385" s="11"/>
      <c r="I385" s="11"/>
      <c r="J385" s="11"/>
      <c r="K385" s="27"/>
      <c r="L385" s="11"/>
      <c r="M385" s="11"/>
    </row>
    <row r="386" spans="1:13" ht="15" customHeight="1">
      <c r="A386" s="27"/>
      <c r="B386" s="11"/>
      <c r="C386" s="11"/>
      <c r="D386" s="11"/>
      <c r="E386" s="11"/>
      <c r="F386" s="27"/>
      <c r="G386" s="11"/>
      <c r="H386" s="11"/>
      <c r="I386" s="11"/>
      <c r="J386" s="11"/>
      <c r="K386" s="27"/>
      <c r="L386" s="11"/>
      <c r="M386" s="11"/>
    </row>
    <row r="387" spans="1:13" ht="15" customHeight="1">
      <c r="A387" s="27"/>
      <c r="B387" s="11"/>
      <c r="C387" s="11"/>
      <c r="D387" s="11"/>
      <c r="E387" s="11"/>
      <c r="F387" s="27"/>
      <c r="G387" s="11"/>
      <c r="H387" s="11"/>
      <c r="I387" s="11"/>
      <c r="J387" s="11"/>
      <c r="K387" s="27"/>
      <c r="L387" s="11"/>
      <c r="M387" s="11"/>
    </row>
    <row r="388" spans="1:13" ht="15" customHeight="1">
      <c r="A388" s="27"/>
      <c r="B388" s="11"/>
      <c r="C388" s="11"/>
      <c r="D388" s="11"/>
      <c r="E388" s="11"/>
      <c r="F388" s="27"/>
      <c r="G388" s="11"/>
      <c r="H388" s="11"/>
      <c r="I388" s="11"/>
      <c r="J388" s="11"/>
      <c r="K388" s="27"/>
      <c r="L388" s="11"/>
      <c r="M388" s="11"/>
    </row>
    <row r="389" spans="1:13" ht="15" customHeight="1">
      <c r="A389" s="27"/>
      <c r="B389" s="11"/>
      <c r="C389" s="11"/>
      <c r="D389" s="11"/>
      <c r="E389" s="11"/>
      <c r="F389" s="27"/>
      <c r="G389" s="11"/>
      <c r="H389" s="11"/>
      <c r="I389" s="11"/>
      <c r="J389" s="11"/>
      <c r="K389" s="27"/>
      <c r="L389" s="11"/>
      <c r="M389" s="11"/>
    </row>
    <row r="390" spans="1:13" ht="15" customHeight="1">
      <c r="A390" s="27"/>
      <c r="B390" s="11"/>
      <c r="C390" s="11"/>
      <c r="D390" s="11"/>
      <c r="E390" s="11"/>
      <c r="F390" s="27"/>
      <c r="G390" s="11"/>
      <c r="H390" s="11"/>
      <c r="I390" s="11"/>
      <c r="J390" s="11"/>
      <c r="K390" s="27"/>
      <c r="L390" s="11"/>
      <c r="M390" s="11"/>
    </row>
    <row r="391" spans="1:13" ht="15" customHeight="1">
      <c r="A391" s="27"/>
      <c r="B391" s="11"/>
      <c r="C391" s="11"/>
      <c r="D391" s="11"/>
      <c r="E391" s="11"/>
      <c r="F391" s="27"/>
      <c r="G391" s="11"/>
      <c r="H391" s="11"/>
      <c r="I391" s="11"/>
      <c r="J391" s="11"/>
      <c r="K391" s="27"/>
      <c r="L391" s="11"/>
      <c r="M391" s="11"/>
    </row>
    <row r="392" spans="1:13" ht="15" customHeight="1">
      <c r="A392" s="27"/>
      <c r="B392" s="11"/>
      <c r="C392" s="11"/>
      <c r="D392" s="11"/>
      <c r="E392" s="11"/>
      <c r="F392" s="27"/>
      <c r="G392" s="11"/>
      <c r="H392" s="11"/>
      <c r="I392" s="11"/>
      <c r="J392" s="11"/>
      <c r="K392" s="27"/>
      <c r="L392" s="11"/>
      <c r="M392" s="11"/>
    </row>
    <row r="393" spans="1:13" ht="15" customHeight="1">
      <c r="A393" s="27"/>
      <c r="B393" s="11"/>
      <c r="C393" s="11"/>
      <c r="D393" s="11"/>
      <c r="E393" s="11"/>
      <c r="F393" s="27"/>
      <c r="G393" s="11"/>
      <c r="H393" s="11"/>
      <c r="I393" s="11"/>
      <c r="J393" s="11"/>
      <c r="K393" s="27"/>
      <c r="L393" s="11"/>
      <c r="M393" s="11"/>
    </row>
    <row r="394" spans="1:13" ht="15" customHeight="1">
      <c r="A394" s="27"/>
      <c r="B394" s="11"/>
      <c r="C394" s="11"/>
      <c r="D394" s="11"/>
      <c r="E394" s="11"/>
      <c r="F394" s="27"/>
      <c r="G394" s="11"/>
      <c r="H394" s="11"/>
      <c r="I394" s="11"/>
      <c r="J394" s="11"/>
      <c r="K394" s="27"/>
      <c r="L394" s="11"/>
      <c r="M394" s="11"/>
    </row>
    <row r="395" spans="1:13" ht="15" customHeight="1">
      <c r="A395" s="27"/>
      <c r="B395" s="11"/>
      <c r="C395" s="11"/>
      <c r="D395" s="11"/>
      <c r="E395" s="11"/>
      <c r="F395" s="27"/>
      <c r="G395" s="11"/>
      <c r="H395" s="11"/>
      <c r="I395" s="11"/>
      <c r="J395" s="11"/>
      <c r="K395" s="27"/>
      <c r="L395" s="11"/>
      <c r="M395" s="11"/>
    </row>
    <row r="396" spans="1:13" ht="15" customHeight="1">
      <c r="A396" s="27"/>
      <c r="B396" s="11"/>
      <c r="C396" s="11"/>
      <c r="D396" s="11"/>
      <c r="E396" s="11"/>
      <c r="F396" s="27"/>
      <c r="G396" s="11"/>
      <c r="H396" s="11"/>
      <c r="I396" s="11"/>
      <c r="J396" s="11"/>
      <c r="K396" s="27"/>
      <c r="L396" s="11"/>
      <c r="M396" s="11"/>
    </row>
    <row r="397" spans="1:13" ht="15" customHeight="1">
      <c r="A397" s="27"/>
      <c r="B397" s="11"/>
      <c r="C397" s="11"/>
      <c r="D397" s="11"/>
      <c r="E397" s="11"/>
      <c r="F397" s="27"/>
      <c r="G397" s="11"/>
      <c r="H397" s="11"/>
      <c r="I397" s="11"/>
      <c r="J397" s="11"/>
      <c r="K397" s="27"/>
      <c r="L397" s="11"/>
      <c r="M397" s="11"/>
    </row>
    <row r="398" spans="1:13" ht="15" customHeight="1">
      <c r="A398" s="27"/>
      <c r="B398" s="11"/>
      <c r="C398" s="11"/>
      <c r="D398" s="11"/>
      <c r="E398" s="11"/>
      <c r="F398" s="27"/>
      <c r="G398" s="11"/>
      <c r="H398" s="11"/>
      <c r="I398" s="11"/>
      <c r="J398" s="11"/>
      <c r="K398" s="27"/>
      <c r="L398" s="11"/>
      <c r="M398" s="11"/>
    </row>
    <row r="399" spans="1:13" ht="15" customHeight="1">
      <c r="A399" s="27"/>
      <c r="B399" s="11"/>
      <c r="C399" s="11"/>
      <c r="D399" s="11"/>
      <c r="E399" s="11"/>
      <c r="F399" s="27"/>
      <c r="G399" s="11"/>
      <c r="H399" s="11"/>
      <c r="I399" s="11"/>
      <c r="J399" s="11"/>
      <c r="K399" s="27"/>
      <c r="L399" s="11"/>
      <c r="M399" s="11"/>
    </row>
    <row r="400" spans="1:13" ht="15" customHeight="1">
      <c r="A400" s="27"/>
      <c r="B400" s="11"/>
      <c r="C400" s="11"/>
      <c r="D400" s="11"/>
      <c r="E400" s="11"/>
      <c r="F400" s="27"/>
      <c r="G400" s="11"/>
      <c r="H400" s="11"/>
      <c r="I400" s="11"/>
      <c r="J400" s="11"/>
      <c r="K400" s="27"/>
      <c r="L400" s="11"/>
      <c r="M400" s="11"/>
    </row>
    <row r="401" spans="1:13" ht="15" customHeight="1">
      <c r="A401" s="27"/>
      <c r="B401" s="11"/>
      <c r="C401" s="11"/>
      <c r="D401" s="11"/>
      <c r="E401" s="11"/>
      <c r="F401" s="27"/>
      <c r="G401" s="11"/>
      <c r="H401" s="11"/>
      <c r="I401" s="11"/>
      <c r="J401" s="11"/>
      <c r="K401" s="27"/>
      <c r="L401" s="11"/>
      <c r="M401" s="11"/>
    </row>
    <row r="402" spans="1:13" ht="15" customHeight="1">
      <c r="A402" s="27"/>
      <c r="B402" s="11"/>
      <c r="C402" s="11"/>
      <c r="D402" s="11"/>
      <c r="E402" s="11"/>
      <c r="F402" s="27"/>
      <c r="G402" s="11"/>
      <c r="H402" s="11"/>
      <c r="I402" s="11"/>
      <c r="J402" s="11"/>
      <c r="K402" s="27"/>
      <c r="L402" s="11"/>
      <c r="M402" s="11"/>
    </row>
    <row r="403" spans="1:13" ht="15" customHeight="1">
      <c r="A403" s="27"/>
      <c r="B403" s="11"/>
      <c r="C403" s="11"/>
      <c r="D403" s="11"/>
      <c r="E403" s="11"/>
      <c r="F403" s="27"/>
      <c r="G403" s="11"/>
      <c r="H403" s="11"/>
      <c r="I403" s="11"/>
      <c r="J403" s="11"/>
      <c r="K403" s="27"/>
      <c r="L403" s="11"/>
      <c r="M403" s="11"/>
    </row>
    <row r="404" spans="1:13" ht="15" customHeight="1">
      <c r="A404" s="27"/>
      <c r="B404" s="11"/>
      <c r="C404" s="11"/>
      <c r="D404" s="11"/>
      <c r="E404" s="11"/>
      <c r="F404" s="27"/>
      <c r="G404" s="11"/>
      <c r="H404" s="11"/>
      <c r="I404" s="11"/>
      <c r="J404" s="11"/>
      <c r="K404" s="27"/>
      <c r="L404" s="11"/>
      <c r="M404" s="11"/>
    </row>
    <row r="405" spans="1:13" ht="15" customHeight="1">
      <c r="A405" s="27"/>
      <c r="B405" s="11"/>
      <c r="C405" s="11"/>
      <c r="D405" s="11"/>
      <c r="E405" s="11"/>
      <c r="F405" s="27"/>
      <c r="G405" s="11"/>
      <c r="H405" s="11"/>
      <c r="I405" s="11"/>
      <c r="J405" s="11"/>
      <c r="K405" s="27"/>
      <c r="L405" s="11"/>
      <c r="M405" s="11"/>
    </row>
    <row r="406" spans="1:13" ht="15" customHeight="1">
      <c r="A406" s="27"/>
      <c r="B406" s="11"/>
      <c r="C406" s="11"/>
      <c r="D406" s="11"/>
      <c r="E406" s="11"/>
      <c r="F406" s="27"/>
      <c r="G406" s="11"/>
      <c r="H406" s="11"/>
      <c r="I406" s="11"/>
      <c r="J406" s="11"/>
      <c r="K406" s="27"/>
      <c r="L406" s="11"/>
      <c r="M406" s="11"/>
    </row>
    <row r="407" spans="1:13" ht="15" customHeight="1">
      <c r="A407" s="27"/>
      <c r="B407" s="11"/>
      <c r="C407" s="11"/>
      <c r="D407" s="11"/>
      <c r="E407" s="11"/>
      <c r="F407" s="27"/>
      <c r="G407" s="11"/>
      <c r="H407" s="11"/>
      <c r="I407" s="11"/>
      <c r="J407" s="11"/>
      <c r="K407" s="27"/>
      <c r="L407" s="11"/>
      <c r="M407" s="11"/>
    </row>
    <row r="408" spans="1:13" ht="15" customHeight="1">
      <c r="A408" s="27"/>
      <c r="B408" s="11"/>
      <c r="C408" s="11"/>
      <c r="D408" s="11"/>
      <c r="E408" s="11"/>
      <c r="F408" s="27"/>
      <c r="G408" s="11"/>
      <c r="H408" s="11"/>
      <c r="I408" s="11"/>
      <c r="J408" s="11"/>
      <c r="K408" s="27"/>
      <c r="L408" s="11"/>
      <c r="M408" s="11"/>
    </row>
    <row r="409" spans="1:13" ht="15" customHeight="1">
      <c r="A409" s="27"/>
      <c r="B409" s="11"/>
      <c r="C409" s="11"/>
      <c r="D409" s="11"/>
      <c r="E409" s="11"/>
      <c r="F409" s="27"/>
      <c r="G409" s="11"/>
      <c r="H409" s="11"/>
      <c r="I409" s="11"/>
      <c r="J409" s="11"/>
      <c r="K409" s="27"/>
      <c r="L409" s="11"/>
      <c r="M409" s="11"/>
    </row>
    <row r="410" spans="1:13" ht="15" customHeight="1">
      <c r="A410" s="27"/>
      <c r="B410" s="11"/>
      <c r="C410" s="11"/>
      <c r="D410" s="11"/>
      <c r="E410" s="11"/>
      <c r="F410" s="27"/>
      <c r="G410" s="11"/>
      <c r="H410" s="11"/>
      <c r="I410" s="11"/>
      <c r="J410" s="11"/>
      <c r="K410" s="27"/>
      <c r="L410" s="11"/>
      <c r="M410" s="11"/>
    </row>
    <row r="411" spans="1:13" ht="15" customHeight="1">
      <c r="A411" s="27"/>
      <c r="B411" s="11"/>
      <c r="C411" s="11"/>
      <c r="D411" s="11"/>
      <c r="E411" s="11"/>
      <c r="F411" s="27"/>
      <c r="G411" s="11"/>
      <c r="H411" s="11"/>
      <c r="I411" s="11"/>
      <c r="J411" s="11"/>
      <c r="K411" s="27"/>
      <c r="L411" s="11"/>
      <c r="M411" s="11"/>
    </row>
    <row r="412" spans="1:13" ht="15" customHeight="1">
      <c r="A412" s="27"/>
      <c r="B412" s="11"/>
      <c r="C412" s="11"/>
      <c r="D412" s="11"/>
      <c r="E412" s="11"/>
      <c r="F412" s="27"/>
      <c r="G412" s="11"/>
      <c r="H412" s="11"/>
      <c r="I412" s="11"/>
      <c r="J412" s="11"/>
      <c r="K412" s="27"/>
      <c r="L412" s="11"/>
      <c r="M412" s="11"/>
    </row>
    <row r="413" spans="1:13" ht="15" customHeight="1">
      <c r="A413" s="27"/>
      <c r="B413" s="11"/>
      <c r="C413" s="11"/>
      <c r="D413" s="11"/>
      <c r="E413" s="11"/>
      <c r="F413" s="27"/>
      <c r="G413" s="11"/>
      <c r="H413" s="11"/>
      <c r="I413" s="11"/>
      <c r="J413" s="11"/>
      <c r="K413" s="27"/>
      <c r="L413" s="11"/>
      <c r="M413" s="11"/>
    </row>
    <row r="414" spans="1:13" ht="15" customHeight="1">
      <c r="A414" s="27"/>
      <c r="B414" s="11"/>
      <c r="C414" s="11"/>
      <c r="D414" s="11"/>
      <c r="E414" s="11"/>
      <c r="F414" s="27"/>
      <c r="G414" s="11"/>
      <c r="H414" s="11"/>
      <c r="I414" s="11"/>
      <c r="J414" s="11"/>
      <c r="K414" s="27"/>
      <c r="L414" s="11"/>
      <c r="M414" s="11"/>
    </row>
    <row r="415" spans="1:13" ht="15" customHeight="1">
      <c r="A415" s="27"/>
      <c r="B415" s="11"/>
      <c r="C415" s="11"/>
      <c r="D415" s="11"/>
      <c r="E415" s="11"/>
      <c r="F415" s="27"/>
      <c r="G415" s="11"/>
      <c r="H415" s="11"/>
      <c r="I415" s="11"/>
      <c r="J415" s="11"/>
      <c r="K415" s="27"/>
      <c r="L415" s="11"/>
      <c r="M415" s="11"/>
    </row>
    <row r="416" spans="1:13" ht="15" customHeight="1">
      <c r="A416" s="27"/>
      <c r="B416" s="11"/>
      <c r="C416" s="11"/>
      <c r="D416" s="11"/>
      <c r="E416" s="11"/>
      <c r="F416" s="27"/>
      <c r="G416" s="11"/>
      <c r="H416" s="11"/>
      <c r="I416" s="11"/>
      <c r="J416" s="11"/>
      <c r="K416" s="27"/>
      <c r="L416" s="11"/>
      <c r="M416" s="11"/>
    </row>
    <row r="417" spans="1:13" ht="15" customHeight="1">
      <c r="A417" s="27"/>
      <c r="B417" s="11"/>
      <c r="C417" s="11"/>
      <c r="D417" s="11"/>
      <c r="E417" s="11"/>
      <c r="F417" s="27"/>
      <c r="G417" s="11"/>
      <c r="H417" s="11"/>
      <c r="I417" s="11"/>
      <c r="J417" s="11"/>
      <c r="K417" s="27"/>
      <c r="L417" s="11"/>
      <c r="M417" s="11"/>
    </row>
    <row r="418" spans="1:13" ht="15" customHeight="1">
      <c r="A418" s="27"/>
      <c r="B418" s="11"/>
      <c r="C418" s="11"/>
      <c r="D418" s="11"/>
      <c r="E418" s="11"/>
      <c r="F418" s="27"/>
      <c r="G418" s="11"/>
      <c r="H418" s="11"/>
      <c r="I418" s="11"/>
      <c r="J418" s="11"/>
      <c r="K418" s="27"/>
      <c r="L418" s="11"/>
      <c r="M418" s="11"/>
    </row>
    <row r="419" spans="1:13" ht="15" customHeight="1">
      <c r="A419" s="27"/>
      <c r="B419" s="11"/>
      <c r="C419" s="11"/>
      <c r="D419" s="11"/>
      <c r="E419" s="11"/>
      <c r="F419" s="27"/>
      <c r="G419" s="11"/>
      <c r="H419" s="11"/>
      <c r="I419" s="11"/>
      <c r="J419" s="11"/>
      <c r="K419" s="27"/>
      <c r="L419" s="11"/>
      <c r="M419" s="11"/>
    </row>
    <row r="420" spans="1:13" ht="15" customHeight="1">
      <c r="A420" s="27"/>
      <c r="B420" s="11"/>
      <c r="C420" s="11"/>
      <c r="D420" s="11"/>
      <c r="E420" s="11"/>
      <c r="F420" s="27"/>
      <c r="G420" s="11"/>
      <c r="H420" s="11"/>
      <c r="I420" s="11"/>
      <c r="J420" s="11"/>
      <c r="K420" s="27"/>
      <c r="L420" s="11"/>
      <c r="M420" s="11"/>
    </row>
    <row r="421" spans="1:13" ht="15" customHeight="1">
      <c r="A421" s="27"/>
      <c r="B421" s="11"/>
      <c r="C421" s="11"/>
      <c r="D421" s="11"/>
      <c r="E421" s="11"/>
      <c r="F421" s="27"/>
      <c r="G421" s="11"/>
      <c r="H421" s="11"/>
      <c r="I421" s="11"/>
      <c r="J421" s="11"/>
      <c r="K421" s="27"/>
      <c r="L421" s="11"/>
      <c r="M421" s="11"/>
    </row>
    <row r="422" spans="1:13" ht="15" customHeight="1">
      <c r="A422" s="27"/>
      <c r="B422" s="11"/>
      <c r="C422" s="11"/>
      <c r="D422" s="11"/>
      <c r="E422" s="11"/>
      <c r="F422" s="27"/>
      <c r="G422" s="11"/>
      <c r="H422" s="11"/>
      <c r="I422" s="11"/>
      <c r="J422" s="11"/>
      <c r="K422" s="27"/>
      <c r="L422" s="11"/>
      <c r="M422" s="11"/>
    </row>
    <row r="423" spans="1:13" ht="15" customHeight="1">
      <c r="A423" s="27"/>
      <c r="B423" s="11"/>
      <c r="C423" s="11"/>
      <c r="D423" s="11"/>
      <c r="E423" s="11"/>
      <c r="F423" s="27"/>
      <c r="G423" s="11"/>
      <c r="H423" s="11"/>
      <c r="I423" s="11"/>
      <c r="J423" s="11"/>
      <c r="K423" s="27"/>
      <c r="L423" s="11"/>
      <c r="M423" s="11"/>
    </row>
    <row r="424" spans="1:13" ht="15" customHeight="1">
      <c r="A424" s="27"/>
      <c r="B424" s="11"/>
      <c r="C424" s="11"/>
      <c r="D424" s="11"/>
      <c r="E424" s="11"/>
      <c r="F424" s="27"/>
      <c r="G424" s="11"/>
      <c r="H424" s="11"/>
      <c r="I424" s="11"/>
      <c r="J424" s="11"/>
      <c r="K424" s="27"/>
      <c r="L424" s="11"/>
      <c r="M424" s="11"/>
    </row>
    <row r="425" spans="1:13" ht="15" customHeight="1">
      <c r="A425" s="27"/>
      <c r="B425" s="11"/>
      <c r="C425" s="11"/>
      <c r="D425" s="11"/>
      <c r="E425" s="11"/>
      <c r="F425" s="27"/>
      <c r="G425" s="11"/>
      <c r="H425" s="11"/>
      <c r="I425" s="11"/>
      <c r="J425" s="11"/>
      <c r="K425" s="27"/>
      <c r="L425" s="11"/>
      <c r="M425" s="11"/>
    </row>
    <row r="426" spans="1:13" ht="15" customHeight="1">
      <c r="A426" s="27"/>
      <c r="B426" s="11"/>
      <c r="C426" s="11"/>
      <c r="D426" s="11"/>
      <c r="E426" s="11"/>
      <c r="F426" s="27"/>
      <c r="G426" s="11"/>
      <c r="H426" s="11"/>
      <c r="I426" s="11"/>
      <c r="J426" s="11"/>
      <c r="K426" s="27"/>
      <c r="L426" s="11"/>
      <c r="M426" s="11"/>
    </row>
    <row r="427" spans="1:13" ht="15" customHeight="1">
      <c r="A427" s="27"/>
      <c r="B427" s="11"/>
      <c r="C427" s="11"/>
      <c r="D427" s="11"/>
      <c r="E427" s="11"/>
      <c r="F427" s="27"/>
      <c r="G427" s="11"/>
      <c r="H427" s="11"/>
      <c r="I427" s="11"/>
      <c r="J427" s="11"/>
      <c r="K427" s="27"/>
      <c r="L427" s="11"/>
      <c r="M427" s="11"/>
    </row>
    <row r="428" spans="1:13" ht="15" customHeight="1">
      <c r="A428" s="27"/>
      <c r="B428" s="11"/>
      <c r="C428" s="11"/>
      <c r="D428" s="11"/>
      <c r="E428" s="11"/>
      <c r="F428" s="27"/>
      <c r="G428" s="11"/>
      <c r="H428" s="11"/>
      <c r="I428" s="11"/>
      <c r="J428" s="11"/>
      <c r="K428" s="27"/>
      <c r="L428" s="11"/>
      <c r="M428" s="11"/>
    </row>
    <row r="429" spans="1:13" ht="15" customHeight="1">
      <c r="A429" s="27"/>
      <c r="B429" s="11"/>
      <c r="C429" s="11"/>
      <c r="D429" s="11"/>
      <c r="E429" s="11"/>
      <c r="F429" s="27"/>
      <c r="G429" s="11"/>
      <c r="H429" s="11"/>
      <c r="I429" s="11"/>
      <c r="J429" s="11"/>
      <c r="K429" s="27"/>
      <c r="L429" s="11"/>
      <c r="M429" s="11"/>
    </row>
    <row r="430" spans="1:13" ht="15" customHeight="1">
      <c r="A430" s="27"/>
      <c r="B430" s="11"/>
      <c r="C430" s="11"/>
      <c r="D430" s="11"/>
      <c r="E430" s="11"/>
      <c r="F430" s="27"/>
      <c r="G430" s="11"/>
      <c r="H430" s="11"/>
      <c r="I430" s="11"/>
      <c r="J430" s="11"/>
      <c r="K430" s="27"/>
      <c r="L430" s="11"/>
      <c r="M430" s="11"/>
    </row>
    <row r="431" spans="1:13" ht="15" customHeight="1">
      <c r="A431" s="27"/>
      <c r="B431" s="11"/>
      <c r="C431" s="11"/>
      <c r="D431" s="11"/>
      <c r="E431" s="11"/>
      <c r="F431" s="27"/>
      <c r="G431" s="11"/>
      <c r="H431" s="11"/>
      <c r="I431" s="11"/>
      <c r="J431" s="11"/>
      <c r="K431" s="27"/>
      <c r="L431" s="11"/>
      <c r="M431" s="11"/>
    </row>
    <row r="432" spans="1:13" ht="15" customHeight="1">
      <c r="A432" s="27"/>
      <c r="B432" s="11"/>
      <c r="C432" s="11"/>
      <c r="D432" s="11"/>
      <c r="E432" s="11"/>
      <c r="F432" s="27"/>
      <c r="G432" s="11"/>
      <c r="H432" s="11"/>
      <c r="I432" s="11"/>
      <c r="J432" s="11"/>
      <c r="K432" s="27"/>
      <c r="L432" s="11"/>
      <c r="M432" s="11"/>
    </row>
    <row r="433" spans="1:13" ht="15" customHeight="1">
      <c r="A433" s="27"/>
      <c r="B433" s="11"/>
      <c r="C433" s="11"/>
      <c r="D433" s="11"/>
      <c r="E433" s="11"/>
      <c r="F433" s="27"/>
      <c r="G433" s="11"/>
      <c r="H433" s="11"/>
      <c r="I433" s="11"/>
      <c r="J433" s="11"/>
      <c r="K433" s="27"/>
      <c r="L433" s="11"/>
      <c r="M433" s="11"/>
    </row>
    <row r="434" spans="1:13" ht="15" customHeight="1">
      <c r="A434" s="27"/>
      <c r="B434" s="11"/>
      <c r="C434" s="11"/>
      <c r="D434" s="11"/>
      <c r="E434" s="11"/>
      <c r="F434" s="27"/>
      <c r="G434" s="11"/>
      <c r="H434" s="11"/>
      <c r="I434" s="11"/>
      <c r="J434" s="11"/>
      <c r="K434" s="27"/>
      <c r="L434" s="11"/>
      <c r="M434" s="11"/>
    </row>
    <row r="435" spans="1:13" ht="15" customHeight="1">
      <c r="A435" s="27"/>
      <c r="B435" s="11"/>
      <c r="C435" s="11"/>
      <c r="D435" s="11"/>
      <c r="E435" s="11"/>
      <c r="F435" s="27"/>
      <c r="G435" s="11"/>
      <c r="H435" s="11"/>
      <c r="I435" s="11"/>
      <c r="J435" s="11"/>
      <c r="K435" s="27"/>
      <c r="L435" s="11"/>
      <c r="M435" s="11"/>
    </row>
    <row r="436" spans="1:13" ht="15" customHeight="1">
      <c r="A436" s="27"/>
      <c r="B436" s="11"/>
      <c r="C436" s="11"/>
      <c r="D436" s="11"/>
      <c r="E436" s="11"/>
      <c r="F436" s="27"/>
      <c r="G436" s="11"/>
      <c r="H436" s="11"/>
      <c r="I436" s="11"/>
      <c r="J436" s="11"/>
      <c r="K436" s="27"/>
      <c r="L436" s="11"/>
      <c r="M436" s="11"/>
    </row>
    <row r="437" spans="1:13" ht="15" customHeight="1">
      <c r="A437" s="27"/>
      <c r="B437" s="11"/>
      <c r="C437" s="11"/>
      <c r="D437" s="11"/>
      <c r="E437" s="11"/>
      <c r="F437" s="27"/>
      <c r="G437" s="11"/>
      <c r="H437" s="11"/>
      <c r="I437" s="11"/>
      <c r="J437" s="11"/>
      <c r="K437" s="27"/>
      <c r="L437" s="11"/>
      <c r="M437" s="11"/>
    </row>
    <row r="438" spans="1:13" ht="15" customHeight="1">
      <c r="A438" s="27"/>
      <c r="B438" s="11"/>
      <c r="C438" s="11"/>
      <c r="D438" s="11"/>
      <c r="E438" s="11"/>
      <c r="F438" s="27"/>
      <c r="G438" s="11"/>
      <c r="H438" s="11"/>
      <c r="I438" s="11"/>
      <c r="J438" s="11"/>
      <c r="K438" s="27"/>
      <c r="L438" s="11"/>
      <c r="M438" s="11"/>
    </row>
    <row r="439" spans="1:13" ht="15" customHeight="1">
      <c r="A439" s="27"/>
      <c r="B439" s="11"/>
      <c r="C439" s="11"/>
      <c r="D439" s="11"/>
      <c r="E439" s="11"/>
      <c r="F439" s="27"/>
      <c r="G439" s="11"/>
      <c r="H439" s="11"/>
      <c r="I439" s="11"/>
      <c r="J439" s="11"/>
      <c r="K439" s="27"/>
      <c r="L439" s="11"/>
      <c r="M439" s="11"/>
    </row>
    <row r="440" spans="1:13" ht="15" customHeight="1">
      <c r="A440" s="27"/>
      <c r="B440" s="11"/>
      <c r="C440" s="11"/>
      <c r="D440" s="11"/>
      <c r="E440" s="11"/>
      <c r="F440" s="27"/>
      <c r="G440" s="11"/>
      <c r="H440" s="11"/>
      <c r="I440" s="11"/>
      <c r="J440" s="11"/>
      <c r="K440" s="27"/>
      <c r="L440" s="11"/>
      <c r="M440" s="11"/>
    </row>
    <row r="441" spans="1:13" ht="15" customHeight="1">
      <c r="A441" s="27"/>
      <c r="B441" s="11"/>
      <c r="C441" s="11"/>
      <c r="D441" s="11"/>
      <c r="E441" s="11"/>
      <c r="F441" s="27"/>
      <c r="G441" s="11"/>
      <c r="H441" s="11"/>
      <c r="I441" s="11"/>
      <c r="J441" s="11"/>
      <c r="K441" s="27"/>
      <c r="L441" s="11"/>
      <c r="M441" s="11"/>
    </row>
    <row r="442" spans="1:13" ht="15" customHeight="1">
      <c r="A442" s="27"/>
      <c r="B442" s="11"/>
      <c r="C442" s="11"/>
      <c r="D442" s="11"/>
      <c r="E442" s="11"/>
      <c r="F442" s="27"/>
      <c r="G442" s="11"/>
      <c r="H442" s="11"/>
      <c r="I442" s="11"/>
      <c r="J442" s="11"/>
      <c r="K442" s="27"/>
      <c r="L442" s="11"/>
      <c r="M442" s="11"/>
    </row>
    <row r="443" spans="1:13" ht="15" customHeight="1">
      <c r="A443" s="27"/>
      <c r="B443" s="11"/>
      <c r="C443" s="11"/>
      <c r="D443" s="11"/>
      <c r="E443" s="11"/>
      <c r="F443" s="27"/>
      <c r="G443" s="11"/>
      <c r="H443" s="11"/>
      <c r="I443" s="11"/>
      <c r="J443" s="11"/>
      <c r="K443" s="27"/>
      <c r="L443" s="11"/>
      <c r="M443" s="11"/>
    </row>
    <row r="444" spans="1:13" ht="15" customHeight="1">
      <c r="A444" s="27"/>
      <c r="B444" s="11"/>
      <c r="C444" s="11"/>
      <c r="D444" s="11"/>
      <c r="E444" s="11"/>
      <c r="F444" s="27"/>
      <c r="G444" s="11"/>
      <c r="H444" s="11"/>
      <c r="I444" s="11"/>
      <c r="J444" s="11"/>
      <c r="K444" s="27"/>
      <c r="L444" s="11"/>
      <c r="M444" s="11"/>
    </row>
    <row r="445" spans="1:13" ht="15" customHeight="1">
      <c r="A445" s="27"/>
      <c r="B445" s="11"/>
      <c r="C445" s="11"/>
      <c r="D445" s="11"/>
      <c r="E445" s="11"/>
      <c r="F445" s="27"/>
      <c r="G445" s="11"/>
      <c r="H445" s="11"/>
      <c r="I445" s="11"/>
      <c r="J445" s="11"/>
      <c r="K445" s="27"/>
      <c r="L445" s="11"/>
      <c r="M445" s="11"/>
    </row>
    <row r="446" spans="1:13" ht="15" customHeight="1">
      <c r="A446" s="27"/>
      <c r="B446" s="11"/>
      <c r="C446" s="11"/>
      <c r="D446" s="11"/>
      <c r="E446" s="11"/>
      <c r="F446" s="27"/>
      <c r="G446" s="11"/>
      <c r="H446" s="11"/>
      <c r="I446" s="11"/>
      <c r="J446" s="11"/>
      <c r="K446" s="27"/>
      <c r="L446" s="11"/>
      <c r="M446" s="11"/>
    </row>
    <row r="447" spans="1:13" ht="15" customHeight="1">
      <c r="A447" s="27"/>
      <c r="B447" s="11"/>
      <c r="C447" s="11"/>
      <c r="D447" s="11"/>
      <c r="E447" s="11"/>
      <c r="F447" s="27"/>
      <c r="G447" s="11"/>
      <c r="H447" s="11"/>
      <c r="I447" s="11"/>
      <c r="J447" s="11"/>
      <c r="K447" s="27"/>
      <c r="L447" s="11"/>
      <c r="M447" s="11"/>
    </row>
    <row r="448" spans="1:13" ht="15" customHeight="1">
      <c r="A448" s="27"/>
      <c r="B448" s="11"/>
      <c r="C448" s="11"/>
      <c r="D448" s="11"/>
      <c r="E448" s="11"/>
      <c r="F448" s="27"/>
      <c r="G448" s="11"/>
      <c r="H448" s="11"/>
      <c r="I448" s="11"/>
      <c r="J448" s="11"/>
      <c r="K448" s="27"/>
      <c r="L448" s="11"/>
      <c r="M448" s="11"/>
    </row>
    <row r="449" spans="1:13" ht="15" customHeight="1">
      <c r="A449" s="27"/>
      <c r="B449" s="11"/>
      <c r="C449" s="11"/>
      <c r="D449" s="11"/>
      <c r="E449" s="11"/>
      <c r="F449" s="27"/>
      <c r="G449" s="11"/>
      <c r="H449" s="11"/>
      <c r="I449" s="11"/>
      <c r="J449" s="11"/>
      <c r="K449" s="27"/>
      <c r="L449" s="11"/>
      <c r="M449" s="11"/>
    </row>
    <row r="450" spans="1:13" ht="15" customHeight="1">
      <c r="A450" s="27"/>
      <c r="B450" s="11"/>
      <c r="C450" s="11"/>
      <c r="D450" s="11"/>
      <c r="E450" s="11"/>
      <c r="F450" s="27"/>
      <c r="G450" s="11"/>
      <c r="H450" s="11"/>
      <c r="I450" s="11"/>
      <c r="J450" s="11"/>
      <c r="K450" s="27"/>
      <c r="L450" s="11"/>
      <c r="M450" s="11"/>
    </row>
    <row r="451" spans="1:13" ht="15" customHeight="1">
      <c r="A451" s="27"/>
      <c r="B451" s="11"/>
      <c r="C451" s="11"/>
      <c r="D451" s="11"/>
      <c r="E451" s="11"/>
      <c r="F451" s="27"/>
      <c r="G451" s="11"/>
      <c r="H451" s="11"/>
      <c r="I451" s="11"/>
      <c r="J451" s="11"/>
      <c r="K451" s="27"/>
      <c r="L451" s="11"/>
      <c r="M451" s="11"/>
    </row>
    <row r="452" spans="1:13" ht="15" customHeight="1">
      <c r="A452" s="27"/>
      <c r="B452" s="11"/>
      <c r="C452" s="11"/>
      <c r="D452" s="11"/>
      <c r="E452" s="11"/>
      <c r="F452" s="27"/>
      <c r="G452" s="11"/>
      <c r="H452" s="11"/>
      <c r="I452" s="11"/>
      <c r="J452" s="11"/>
      <c r="K452" s="27"/>
      <c r="L452" s="11"/>
      <c r="M452" s="11"/>
    </row>
    <row r="453" spans="1:13" ht="15" customHeight="1">
      <c r="A453" s="27"/>
      <c r="B453" s="11"/>
      <c r="C453" s="11"/>
      <c r="D453" s="11"/>
      <c r="E453" s="11"/>
      <c r="F453" s="27"/>
      <c r="G453" s="11"/>
      <c r="H453" s="11"/>
      <c r="I453" s="11"/>
      <c r="J453" s="11"/>
      <c r="K453" s="27"/>
      <c r="L453" s="11"/>
      <c r="M453" s="11"/>
    </row>
    <row r="454" spans="1:13" ht="15" customHeight="1">
      <c r="A454" s="27"/>
      <c r="B454" s="11"/>
      <c r="C454" s="11"/>
      <c r="D454" s="11"/>
      <c r="E454" s="11"/>
      <c r="F454" s="27"/>
      <c r="G454" s="11"/>
      <c r="H454" s="11"/>
      <c r="I454" s="11"/>
      <c r="J454" s="11"/>
      <c r="K454" s="27"/>
      <c r="L454" s="11"/>
      <c r="M454" s="11"/>
    </row>
    <row r="455" spans="1:13" ht="15" customHeight="1">
      <c r="A455" s="27"/>
      <c r="B455" s="11"/>
      <c r="C455" s="11"/>
      <c r="D455" s="11"/>
      <c r="E455" s="11"/>
      <c r="F455" s="27"/>
      <c r="G455" s="11"/>
      <c r="H455" s="11"/>
      <c r="I455" s="11"/>
      <c r="J455" s="11"/>
      <c r="K455" s="27"/>
      <c r="L455" s="11"/>
      <c r="M455" s="11"/>
    </row>
    <row r="456" spans="1:13" ht="15" customHeight="1">
      <c r="A456" s="27"/>
      <c r="B456" s="11"/>
      <c r="C456" s="11"/>
      <c r="D456" s="11"/>
      <c r="E456" s="11"/>
      <c r="F456" s="27"/>
      <c r="G456" s="11"/>
      <c r="H456" s="11"/>
      <c r="I456" s="11"/>
      <c r="J456" s="11"/>
      <c r="K456" s="27"/>
      <c r="L456" s="11"/>
      <c r="M456" s="11"/>
    </row>
    <row r="457" spans="1:13" ht="15" customHeight="1">
      <c r="A457" s="27"/>
      <c r="B457" s="11"/>
      <c r="C457" s="11"/>
      <c r="D457" s="11"/>
      <c r="E457" s="11"/>
      <c r="F457" s="27"/>
      <c r="G457" s="11"/>
      <c r="H457" s="11"/>
      <c r="I457" s="11"/>
      <c r="J457" s="11"/>
      <c r="K457" s="27"/>
      <c r="L457" s="11"/>
      <c r="M457" s="11"/>
    </row>
    <row r="458" spans="1:13" ht="15" customHeight="1">
      <c r="A458" s="27"/>
      <c r="B458" s="11"/>
      <c r="C458" s="11"/>
      <c r="D458" s="11"/>
      <c r="E458" s="11"/>
      <c r="F458" s="27"/>
      <c r="G458" s="11"/>
      <c r="H458" s="11"/>
      <c r="I458" s="11"/>
      <c r="J458" s="11"/>
      <c r="K458" s="27"/>
      <c r="L458" s="11"/>
      <c r="M458" s="11"/>
    </row>
    <row r="459" spans="1:13" ht="15" customHeight="1">
      <c r="A459" s="27"/>
      <c r="B459" s="11"/>
      <c r="C459" s="11"/>
      <c r="D459" s="11"/>
      <c r="E459" s="11"/>
      <c r="F459" s="27"/>
      <c r="G459" s="11"/>
      <c r="H459" s="11"/>
      <c r="I459" s="11"/>
      <c r="J459" s="11"/>
      <c r="K459" s="27"/>
      <c r="L459" s="11"/>
      <c r="M459" s="11"/>
    </row>
    <row r="460" spans="1:13" ht="15" customHeight="1">
      <c r="A460" s="27"/>
      <c r="B460" s="11"/>
      <c r="C460" s="11"/>
      <c r="D460" s="11"/>
      <c r="E460" s="11"/>
      <c r="F460" s="27"/>
      <c r="G460" s="11"/>
      <c r="H460" s="11"/>
      <c r="I460" s="11"/>
      <c r="J460" s="11"/>
      <c r="K460" s="27"/>
      <c r="L460" s="11"/>
      <c r="M460" s="11"/>
    </row>
    <row r="461" spans="1:13" ht="15" customHeight="1">
      <c r="A461" s="27"/>
      <c r="B461" s="11"/>
      <c r="C461" s="11"/>
      <c r="D461" s="11"/>
      <c r="E461" s="11"/>
      <c r="F461" s="27"/>
      <c r="G461" s="11"/>
      <c r="H461" s="11"/>
      <c r="I461" s="11"/>
      <c r="J461" s="11"/>
      <c r="K461" s="27"/>
      <c r="L461" s="11"/>
      <c r="M461" s="11"/>
    </row>
    <row r="462" spans="1:13" ht="15" customHeight="1">
      <c r="A462" s="27"/>
      <c r="B462" s="11"/>
      <c r="C462" s="11"/>
      <c r="D462" s="11"/>
      <c r="E462" s="11"/>
      <c r="F462" s="27"/>
      <c r="G462" s="11"/>
      <c r="H462" s="11"/>
      <c r="I462" s="11"/>
      <c r="J462" s="11"/>
      <c r="K462" s="27"/>
      <c r="L462" s="11"/>
      <c r="M462" s="11"/>
    </row>
    <row r="463" spans="1:13" ht="15" customHeight="1">
      <c r="A463" s="27"/>
      <c r="B463" s="11"/>
      <c r="C463" s="11"/>
      <c r="D463" s="11"/>
      <c r="E463" s="11"/>
      <c r="F463" s="27"/>
      <c r="G463" s="11"/>
      <c r="H463" s="11"/>
      <c r="I463" s="11"/>
      <c r="J463" s="11"/>
      <c r="K463" s="27"/>
      <c r="L463" s="11"/>
      <c r="M463" s="11"/>
    </row>
    <row r="464" spans="1:13" ht="15" customHeight="1">
      <c r="A464" s="27"/>
      <c r="B464" s="11"/>
      <c r="C464" s="11"/>
      <c r="D464" s="11"/>
      <c r="E464" s="11"/>
      <c r="F464" s="27"/>
      <c r="G464" s="11"/>
      <c r="H464" s="11"/>
      <c r="I464" s="11"/>
      <c r="J464" s="11"/>
      <c r="K464" s="27"/>
      <c r="L464" s="11"/>
      <c r="M464" s="11"/>
    </row>
    <row r="465" spans="1:13" ht="15" customHeight="1">
      <c r="A465" s="27"/>
      <c r="B465" s="11"/>
      <c r="C465" s="11"/>
      <c r="D465" s="11"/>
      <c r="E465" s="11"/>
      <c r="F465" s="27"/>
      <c r="G465" s="11"/>
      <c r="H465" s="11"/>
      <c r="I465" s="11"/>
      <c r="J465" s="11"/>
      <c r="K465" s="27"/>
      <c r="L465" s="11"/>
      <c r="M465" s="11"/>
    </row>
    <row r="466" spans="1:13" ht="15" customHeight="1">
      <c r="A466" s="27"/>
      <c r="B466" s="11"/>
      <c r="C466" s="11"/>
      <c r="D466" s="11"/>
      <c r="E466" s="11"/>
      <c r="F466" s="27"/>
      <c r="G466" s="11"/>
      <c r="H466" s="11"/>
      <c r="I466" s="11"/>
      <c r="J466" s="11"/>
      <c r="K466" s="27"/>
      <c r="L466" s="11"/>
      <c r="M466" s="11"/>
    </row>
    <row r="467" spans="1:13" ht="15" customHeight="1">
      <c r="A467" s="27"/>
      <c r="B467" s="11"/>
      <c r="C467" s="11"/>
      <c r="D467" s="11"/>
      <c r="E467" s="11"/>
      <c r="F467" s="27"/>
      <c r="G467" s="11"/>
      <c r="H467" s="11"/>
      <c r="I467" s="11"/>
      <c r="J467" s="11"/>
      <c r="K467" s="27"/>
      <c r="L467" s="11"/>
      <c r="M467" s="11"/>
    </row>
    <row r="468" spans="1:13" ht="15" customHeight="1">
      <c r="A468" s="27"/>
      <c r="B468" s="11"/>
      <c r="C468" s="11"/>
      <c r="D468" s="11"/>
      <c r="E468" s="11"/>
      <c r="F468" s="27"/>
      <c r="G468" s="11"/>
      <c r="H468" s="11"/>
      <c r="I468" s="11"/>
      <c r="J468" s="11"/>
      <c r="K468" s="27"/>
      <c r="L468" s="11"/>
      <c r="M468" s="11"/>
    </row>
    <row r="469" spans="1:13" ht="15" customHeight="1">
      <c r="A469" s="27"/>
      <c r="B469" s="11"/>
      <c r="C469" s="11"/>
      <c r="D469" s="11"/>
      <c r="E469" s="11"/>
      <c r="F469" s="27"/>
      <c r="G469" s="11"/>
      <c r="H469" s="11"/>
      <c r="I469" s="11"/>
      <c r="J469" s="11"/>
      <c r="K469" s="27"/>
      <c r="L469" s="11"/>
      <c r="M469" s="11"/>
    </row>
    <row r="470" spans="1:13" ht="15" customHeight="1">
      <c r="A470" s="27"/>
      <c r="B470" s="11"/>
      <c r="C470" s="11"/>
      <c r="D470" s="11"/>
      <c r="E470" s="11"/>
      <c r="F470" s="27"/>
      <c r="G470" s="11"/>
      <c r="H470" s="11"/>
      <c r="I470" s="11"/>
      <c r="J470" s="11"/>
      <c r="K470" s="27"/>
      <c r="L470" s="11"/>
      <c r="M470" s="11"/>
    </row>
    <row r="471" spans="1:13" ht="15" customHeight="1">
      <c r="A471" s="27"/>
      <c r="B471" s="11"/>
      <c r="C471" s="11"/>
      <c r="D471" s="11"/>
      <c r="E471" s="11"/>
      <c r="F471" s="27"/>
      <c r="G471" s="11"/>
      <c r="H471" s="11"/>
      <c r="I471" s="11"/>
      <c r="J471" s="11"/>
      <c r="K471" s="27"/>
      <c r="L471" s="11"/>
      <c r="M471" s="11"/>
    </row>
    <row r="472" spans="1:13" ht="15" customHeight="1">
      <c r="A472" s="27"/>
      <c r="B472" s="11"/>
      <c r="C472" s="11"/>
      <c r="D472" s="11"/>
      <c r="E472" s="11"/>
      <c r="F472" s="27"/>
      <c r="G472" s="11"/>
      <c r="H472" s="11"/>
      <c r="I472" s="11"/>
      <c r="J472" s="11"/>
      <c r="K472" s="27"/>
      <c r="L472" s="11"/>
      <c r="M472" s="11"/>
    </row>
  </sheetData>
  <sortState xmlns:xlrd2="http://schemas.microsoft.com/office/spreadsheetml/2017/richdata2" ref="A2:M12">
    <sortCondition ref="K2:K12"/>
  </sortState>
  <dataValidations count="1">
    <dataValidation type="list" allowBlank="1" sqref="E2:E473" xr:uid="{00000000-0002-0000-0500-000000000000}">
      <formula1>"TRUE,FALSE"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
  <sheetViews>
    <sheetView zoomScale="71" zoomScaleNormal="71" workbookViewId="0">
      <selection activeCell="P5" sqref="P5"/>
    </sheetView>
  </sheetViews>
  <sheetFormatPr defaultColWidth="8.7109375" defaultRowHeight="15"/>
  <cols>
    <col min="1" max="1" width="3.140625" customWidth="1"/>
    <col min="2" max="2" width="13.85546875" customWidth="1"/>
    <col min="3" max="3" width="14.42578125" customWidth="1"/>
    <col min="4" max="4" width="28.7109375" customWidth="1"/>
    <col min="5" max="5" width="7.5703125" customWidth="1"/>
    <col min="6" max="6" width="15" customWidth="1"/>
    <col min="7" max="7" width="10.7109375" customWidth="1"/>
  </cols>
  <sheetData>
    <row r="1" spans="1:7" ht="15" customHeight="1">
      <c r="A1" s="23" t="s">
        <v>101</v>
      </c>
      <c r="B1" s="23" t="s">
        <v>88</v>
      </c>
      <c r="C1" s="23" t="s">
        <v>102</v>
      </c>
      <c r="D1" s="23" t="s">
        <v>103</v>
      </c>
      <c r="E1" s="23" t="s">
        <v>13</v>
      </c>
      <c r="F1" s="23" t="s">
        <v>104</v>
      </c>
      <c r="G1" s="24" t="s">
        <v>105</v>
      </c>
    </row>
    <row r="2" spans="1:7" ht="15" customHeight="1">
      <c r="A2" s="11">
        <v>1</v>
      </c>
      <c r="B2" s="11" t="s">
        <v>90</v>
      </c>
      <c r="C2" s="11" t="s">
        <v>346</v>
      </c>
      <c r="D2" s="19" t="s">
        <v>347</v>
      </c>
      <c r="E2" s="25">
        <v>190.38</v>
      </c>
      <c r="F2" s="19" t="s">
        <v>16</v>
      </c>
      <c r="G2" s="26">
        <v>46208</v>
      </c>
    </row>
    <row r="3" spans="1:7" ht="15" customHeight="1">
      <c r="A3" s="11">
        <v>2</v>
      </c>
      <c r="B3" s="11" t="s">
        <v>92</v>
      </c>
      <c r="C3" s="11" t="s">
        <v>346</v>
      </c>
      <c r="D3" s="19" t="s">
        <v>348</v>
      </c>
      <c r="E3" s="25">
        <v>253.84</v>
      </c>
      <c r="F3" s="19" t="s">
        <v>31</v>
      </c>
      <c r="G3" s="26">
        <v>46215</v>
      </c>
    </row>
    <row r="4" spans="1:7" ht="15" customHeight="1">
      <c r="A4" s="11">
        <v>3</v>
      </c>
      <c r="B4" s="11" t="s">
        <v>94</v>
      </c>
      <c r="C4" s="11" t="s">
        <v>346</v>
      </c>
      <c r="D4" s="19" t="s">
        <v>349</v>
      </c>
      <c r="E4" s="25">
        <v>126.92</v>
      </c>
      <c r="F4" s="19" t="s">
        <v>18</v>
      </c>
      <c r="G4" s="26">
        <v>46221</v>
      </c>
    </row>
    <row r="5" spans="1:7" ht="15" customHeight="1">
      <c r="A5" s="11">
        <v>4</v>
      </c>
      <c r="B5" s="11" t="s">
        <v>93</v>
      </c>
      <c r="C5" s="11" t="s">
        <v>346</v>
      </c>
      <c r="D5" s="19" t="s">
        <v>350</v>
      </c>
      <c r="E5" s="25">
        <v>190.38</v>
      </c>
      <c r="F5" s="19" t="s">
        <v>45</v>
      </c>
      <c r="G5" s="26">
        <v>46227</v>
      </c>
    </row>
    <row r="6" spans="1:7" ht="15" customHeight="1">
      <c r="A6" s="11">
        <v>5</v>
      </c>
      <c r="B6" s="11" t="s">
        <v>91</v>
      </c>
      <c r="C6" s="11" t="s">
        <v>346</v>
      </c>
      <c r="D6" s="19" t="s">
        <v>351</v>
      </c>
      <c r="E6" s="25">
        <v>253.84</v>
      </c>
      <c r="F6" s="19" t="s">
        <v>20</v>
      </c>
      <c r="G6" s="26">
        <v>46232</v>
      </c>
    </row>
    <row r="7" spans="1:7" ht="15" customHeight="1">
      <c r="A7" s="11">
        <v>6</v>
      </c>
      <c r="B7" s="11" t="s">
        <v>90</v>
      </c>
      <c r="C7" s="11" t="s">
        <v>346</v>
      </c>
      <c r="D7" s="19" t="s">
        <v>352</v>
      </c>
      <c r="E7" s="25">
        <v>190.38</v>
      </c>
      <c r="F7" s="19" t="s">
        <v>39</v>
      </c>
      <c r="G7" s="26">
        <v>46238</v>
      </c>
    </row>
    <row r="8" spans="1:7" ht="15" customHeight="1">
      <c r="A8" s="11">
        <v>7</v>
      </c>
      <c r="B8" s="11" t="s">
        <v>92</v>
      </c>
      <c r="C8" s="11" t="s">
        <v>346</v>
      </c>
      <c r="D8" s="19" t="s">
        <v>353</v>
      </c>
      <c r="E8" s="25">
        <v>253.84</v>
      </c>
      <c r="F8" s="19" t="s">
        <v>77</v>
      </c>
      <c r="G8" s="26">
        <v>46246</v>
      </c>
    </row>
    <row r="9" spans="1:7" ht="15" customHeight="1">
      <c r="A9" s="11">
        <v>8</v>
      </c>
      <c r="B9" s="11" t="s">
        <v>93</v>
      </c>
      <c r="C9" s="11" t="s">
        <v>346</v>
      </c>
      <c r="D9" s="19" t="s">
        <v>354</v>
      </c>
      <c r="E9" s="25">
        <v>126.92</v>
      </c>
      <c r="F9" s="19" t="s">
        <v>76</v>
      </c>
      <c r="G9" s="26">
        <v>46252</v>
      </c>
    </row>
    <row r="10" spans="1:7" ht="15" customHeight="1">
      <c r="A10" s="11">
        <v>9</v>
      </c>
      <c r="B10" s="11" t="s">
        <v>90</v>
      </c>
      <c r="C10" s="11" t="s">
        <v>346</v>
      </c>
      <c r="D10" s="19" t="s">
        <v>355</v>
      </c>
      <c r="E10" s="25">
        <v>190.38</v>
      </c>
      <c r="F10" s="19" t="s">
        <v>30</v>
      </c>
      <c r="G10" s="26">
        <v>46258</v>
      </c>
    </row>
    <row r="11" spans="1:7" ht="15" customHeight="1">
      <c r="A11" s="11">
        <v>10</v>
      </c>
      <c r="B11" s="11" t="s">
        <v>91</v>
      </c>
      <c r="C11" s="11" t="s">
        <v>346</v>
      </c>
      <c r="D11" s="19" t="s">
        <v>356</v>
      </c>
      <c r="E11" s="25">
        <v>190.38</v>
      </c>
      <c r="F11" s="19" t="s">
        <v>46</v>
      </c>
      <c r="G11" s="26">
        <v>46265</v>
      </c>
    </row>
  </sheetData>
  <dataValidations count="2">
    <dataValidation type="list" allowBlank="1" sqref="B2:B995" xr:uid="{00000000-0002-0000-0600-000000000000}">
      <formula1>"NSW,ACT,VIC,QLD,South Australia,Tasmania,Western Australia"</formula1>
      <formula2>0</formula2>
    </dataValidation>
    <dataValidation type="list" allowBlank="1" sqref="C2:C995" xr:uid="{00000000-0002-0000-0600-000001000000}">
      <formula1>"New Service &amp; Resume Requests,Placed &amp; Scheduled Orders,Jobs Added Back to Permanent Dash,Jobs Added Back Now Placed,Orders Taken or Given Back,Churn,Service On Hold"</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74"/>
  <sheetViews>
    <sheetView zoomScaleNormal="100" workbookViewId="0">
      <pane ySplit="4" topLeftCell="A5" activePane="bottomLeft" state="frozen"/>
      <selection pane="bottomLeft" activeCell="O72" sqref="O72"/>
    </sheetView>
  </sheetViews>
  <sheetFormatPr defaultColWidth="8.7109375" defaultRowHeight="15"/>
  <cols>
    <col min="1" max="1" width="28" customWidth="1"/>
    <col min="2" max="2" width="30" customWidth="1"/>
    <col min="3" max="3" width="16" customWidth="1"/>
    <col min="4" max="4" width="20" customWidth="1"/>
    <col min="5" max="5" width="12" customWidth="1"/>
    <col min="6" max="6" width="14" customWidth="1"/>
    <col min="7" max="7" width="16" customWidth="1"/>
  </cols>
  <sheetData>
    <row r="1" spans="1:8" ht="15" customHeight="1">
      <c r="A1" s="46" t="s">
        <v>357</v>
      </c>
      <c r="B1" s="46"/>
      <c r="C1" s="46"/>
      <c r="D1" s="46"/>
      <c r="E1" s="46"/>
      <c r="F1" s="46"/>
      <c r="G1" s="46"/>
    </row>
    <row r="2" spans="1:8" ht="27.75" customHeight="1">
      <c r="A2" s="45" t="s">
        <v>358</v>
      </c>
      <c r="B2" s="45"/>
      <c r="C2" s="45"/>
      <c r="D2" s="45"/>
      <c r="E2" s="45"/>
      <c r="F2" s="45"/>
      <c r="G2" s="45"/>
    </row>
    <row r="4" spans="1:8" ht="26.25" customHeight="1">
      <c r="A4" s="23" t="s">
        <v>359</v>
      </c>
      <c r="B4" s="23" t="s">
        <v>102</v>
      </c>
      <c r="C4" s="23" t="s">
        <v>11</v>
      </c>
      <c r="D4" s="23" t="s">
        <v>360</v>
      </c>
      <c r="E4" s="23" t="s">
        <v>361</v>
      </c>
      <c r="F4" s="23" t="s">
        <v>362</v>
      </c>
      <c r="G4" s="23" t="s">
        <v>363</v>
      </c>
      <c r="H4" t="s">
        <v>364</v>
      </c>
    </row>
    <row r="5" spans="1:8" ht="15" customHeight="1">
      <c r="A5" s="19" t="s">
        <v>14</v>
      </c>
      <c r="B5" s="19" t="s">
        <v>106</v>
      </c>
      <c r="C5" s="11">
        <f>COUNTIFS('NEW SERVICE &amp; RESUME REQUESTS'!$F$4:$F$995,A5,'NEW SERVICE &amp; RESUME REQUESTS'!$C$4:$C$995,B5)</f>
        <v>0</v>
      </c>
      <c r="D5" s="28">
        <v>3</v>
      </c>
      <c r="E5" s="28">
        <v>1</v>
      </c>
      <c r="F5" s="11">
        <f t="shared" ref="F5:F36" si="0">E5-C5</f>
        <v>1</v>
      </c>
      <c r="G5" s="29">
        <f t="shared" ref="G5:G36" si="1">IFERROR(C5/D5,0)</f>
        <v>0</v>
      </c>
    </row>
    <row r="6" spans="1:8" ht="15" customHeight="1">
      <c r="A6" s="19" t="s">
        <v>15</v>
      </c>
      <c r="B6" s="19" t="s">
        <v>106</v>
      </c>
      <c r="C6" s="11">
        <f>COUNTIFS('NEW SERVICE &amp; RESUME REQUESTS'!$F$4:$F$995,A6,'NEW SERVICE &amp; RESUME REQUESTS'!$C$4:$C$995,B6)</f>
        <v>4</v>
      </c>
      <c r="D6" s="28">
        <v>29</v>
      </c>
      <c r="E6" s="28">
        <v>10</v>
      </c>
      <c r="F6" s="11">
        <f t="shared" si="0"/>
        <v>6</v>
      </c>
      <c r="G6" s="29">
        <f t="shared" si="1"/>
        <v>0.13793103448275862</v>
      </c>
    </row>
    <row r="7" spans="1:8" ht="15" customHeight="1">
      <c r="A7" s="19" t="s">
        <v>16</v>
      </c>
      <c r="B7" s="19" t="s">
        <v>106</v>
      </c>
      <c r="C7" s="11">
        <f>COUNTIFS('NEW SERVICE &amp; RESUME REQUESTS'!$F$4:$F$995,A7,'NEW SERVICE &amp; RESUME REQUESTS'!$C$4:$C$995,B7)</f>
        <v>17</v>
      </c>
      <c r="D7" s="28">
        <v>29</v>
      </c>
      <c r="E7" s="28">
        <v>20</v>
      </c>
      <c r="F7" s="11">
        <f t="shared" si="0"/>
        <v>3</v>
      </c>
      <c r="G7" s="29">
        <f t="shared" si="1"/>
        <v>0.58620689655172409</v>
      </c>
    </row>
    <row r="8" spans="1:8" ht="15" customHeight="1">
      <c r="A8" s="19" t="s">
        <v>17</v>
      </c>
      <c r="B8" s="19" t="s">
        <v>106</v>
      </c>
      <c r="C8" s="11">
        <f>COUNTIFS('NEW SERVICE &amp; RESUME REQUESTS'!$F$4:$F$995,A8,'NEW SERVICE &amp; RESUME REQUESTS'!$C$4:$C$995,B8)</f>
        <v>0</v>
      </c>
      <c r="D8" s="28">
        <v>29</v>
      </c>
      <c r="E8" s="28">
        <v>0</v>
      </c>
      <c r="F8" s="11">
        <f t="shared" si="0"/>
        <v>0</v>
      </c>
      <c r="G8" s="29">
        <f t="shared" si="1"/>
        <v>0</v>
      </c>
    </row>
    <row r="9" spans="1:8" ht="15" customHeight="1">
      <c r="A9" s="19" t="s">
        <v>18</v>
      </c>
      <c r="B9" s="19" t="s">
        <v>106</v>
      </c>
      <c r="C9" s="11">
        <f>COUNTIFS('NEW SERVICE &amp; RESUME REQUESTS'!$F$4:$F$995,A9,'NEW SERVICE &amp; RESUME REQUESTS'!$C$4:$C$995,B9)</f>
        <v>75</v>
      </c>
      <c r="D9" s="28">
        <v>29</v>
      </c>
      <c r="E9" s="28">
        <v>80</v>
      </c>
      <c r="F9" s="11">
        <f t="shared" si="0"/>
        <v>5</v>
      </c>
      <c r="G9" s="29">
        <f t="shared" si="1"/>
        <v>2.5862068965517242</v>
      </c>
    </row>
    <row r="10" spans="1:8" ht="15" customHeight="1">
      <c r="A10" s="19" t="s">
        <v>19</v>
      </c>
      <c r="B10" s="19" t="s">
        <v>106</v>
      </c>
      <c r="C10" s="11">
        <f>COUNTIFS('NEW SERVICE &amp; RESUME REQUESTS'!$F$4:$F$995,A10,'NEW SERVICE &amp; RESUME REQUESTS'!$C$4:$C$995,B10)</f>
        <v>0</v>
      </c>
      <c r="D10" s="28">
        <v>29</v>
      </c>
      <c r="E10" s="28">
        <v>0</v>
      </c>
      <c r="F10" s="11">
        <f t="shared" si="0"/>
        <v>0</v>
      </c>
      <c r="G10" s="29">
        <f t="shared" si="1"/>
        <v>0</v>
      </c>
    </row>
    <row r="11" spans="1:8" ht="15" customHeight="1">
      <c r="A11" s="19" t="s">
        <v>20</v>
      </c>
      <c r="B11" s="19" t="s">
        <v>106</v>
      </c>
      <c r="C11" s="11">
        <f>COUNTIFS('NEW SERVICE &amp; RESUME REQUESTS'!$F$4:$F$995,A11,'NEW SERVICE &amp; RESUME REQUESTS'!$C$4:$C$995,B11)</f>
        <v>14</v>
      </c>
      <c r="D11" s="28">
        <v>29</v>
      </c>
      <c r="E11" s="28">
        <v>20</v>
      </c>
      <c r="F11" s="11">
        <f t="shared" si="0"/>
        <v>6</v>
      </c>
      <c r="G11" s="29">
        <f t="shared" si="1"/>
        <v>0.48275862068965519</v>
      </c>
    </row>
    <row r="12" spans="1:8" ht="15" customHeight="1">
      <c r="A12" s="19" t="s">
        <v>21</v>
      </c>
      <c r="B12" s="19" t="s">
        <v>106</v>
      </c>
      <c r="C12" s="11">
        <f>COUNTIFS('NEW SERVICE &amp; RESUME REQUESTS'!$F$4:$F$995,A12,'NEW SERVICE &amp; RESUME REQUESTS'!$C$4:$C$995,B12)</f>
        <v>0</v>
      </c>
      <c r="D12" s="28">
        <v>5</v>
      </c>
      <c r="E12" s="28">
        <v>0</v>
      </c>
      <c r="F12" s="11">
        <f t="shared" si="0"/>
        <v>0</v>
      </c>
      <c r="G12" s="29">
        <f t="shared" si="1"/>
        <v>0</v>
      </c>
    </row>
    <row r="13" spans="1:8" ht="15" customHeight="1">
      <c r="A13" s="19" t="s">
        <v>22</v>
      </c>
      <c r="B13" s="19" t="s">
        <v>106</v>
      </c>
      <c r="C13" s="11">
        <f>COUNTIFS('NEW SERVICE &amp; RESUME REQUESTS'!$F$4:$F$995,A13,'NEW SERVICE &amp; RESUME REQUESTS'!$C$4:$C$995,B13)</f>
        <v>0</v>
      </c>
      <c r="D13" s="28">
        <v>2</v>
      </c>
      <c r="E13" s="28">
        <v>0</v>
      </c>
      <c r="F13" s="11">
        <f t="shared" si="0"/>
        <v>0</v>
      </c>
      <c r="G13" s="29">
        <f t="shared" si="1"/>
        <v>0</v>
      </c>
    </row>
    <row r="14" spans="1:8" ht="15" customHeight="1">
      <c r="A14" s="19" t="s">
        <v>23</v>
      </c>
      <c r="B14" s="19" t="s">
        <v>106</v>
      </c>
      <c r="C14" s="11">
        <f>COUNTIFS('NEW SERVICE &amp; RESUME REQUESTS'!$F$4:$F$995,A14,'NEW SERVICE &amp; RESUME REQUESTS'!$C$4:$C$995,B14)</f>
        <v>0</v>
      </c>
      <c r="D14" s="28">
        <v>2</v>
      </c>
      <c r="E14" s="28">
        <v>0</v>
      </c>
      <c r="F14" s="11">
        <f t="shared" si="0"/>
        <v>0</v>
      </c>
      <c r="G14" s="29">
        <f t="shared" si="1"/>
        <v>0</v>
      </c>
    </row>
    <row r="15" spans="1:8" ht="15" customHeight="1">
      <c r="A15" s="19" t="s">
        <v>24</v>
      </c>
      <c r="B15" s="19" t="s">
        <v>106</v>
      </c>
      <c r="C15" s="11">
        <f>COUNTIFS('NEW SERVICE &amp; RESUME REQUESTS'!$F$4:$F$995,A15,'NEW SERVICE &amp; RESUME REQUESTS'!$C$4:$C$995,B15)</f>
        <v>0</v>
      </c>
      <c r="D15" s="28">
        <v>2</v>
      </c>
      <c r="E15" s="28">
        <v>2</v>
      </c>
      <c r="F15" s="11">
        <f t="shared" si="0"/>
        <v>2</v>
      </c>
      <c r="G15" s="29">
        <f t="shared" si="1"/>
        <v>0</v>
      </c>
    </row>
    <row r="16" spans="1:8" ht="15" customHeight="1">
      <c r="A16" s="19" t="s">
        <v>25</v>
      </c>
      <c r="B16" s="19" t="s">
        <v>106</v>
      </c>
      <c r="C16" s="11">
        <f>COUNTIFS('NEW SERVICE &amp; RESUME REQUESTS'!$F$4:$F$995,A16,'NEW SERVICE &amp; RESUME REQUESTS'!$C$4:$C$995,B16)</f>
        <v>0</v>
      </c>
      <c r="D16" s="28">
        <v>2</v>
      </c>
      <c r="E16" s="28">
        <v>0</v>
      </c>
      <c r="F16" s="11">
        <f t="shared" si="0"/>
        <v>0</v>
      </c>
      <c r="G16" s="29">
        <f t="shared" si="1"/>
        <v>0</v>
      </c>
    </row>
    <row r="17" spans="1:7" ht="15" customHeight="1">
      <c r="A17" s="19" t="s">
        <v>26</v>
      </c>
      <c r="B17" s="19" t="s">
        <v>106</v>
      </c>
      <c r="C17" s="11">
        <f>COUNTIFS('NEW SERVICE &amp; RESUME REQUESTS'!$F$4:$F$995,A17,'NEW SERVICE &amp; RESUME REQUESTS'!$C$4:$C$995,B17)</f>
        <v>0</v>
      </c>
      <c r="D17" s="28">
        <v>1</v>
      </c>
      <c r="E17" s="28">
        <v>0</v>
      </c>
      <c r="F17" s="11">
        <f t="shared" si="0"/>
        <v>0</v>
      </c>
      <c r="G17" s="29">
        <f t="shared" si="1"/>
        <v>0</v>
      </c>
    </row>
    <row r="18" spans="1:7" ht="15" customHeight="1">
      <c r="A18" s="19" t="s">
        <v>27</v>
      </c>
      <c r="B18" s="19" t="s">
        <v>106</v>
      </c>
      <c r="C18" s="11">
        <f>COUNTIFS('NEW SERVICE &amp; RESUME REQUESTS'!$F$4:$F$995,A18,'NEW SERVICE &amp; RESUME REQUESTS'!$C$4:$C$995,B18)</f>
        <v>0</v>
      </c>
      <c r="D18" s="28">
        <v>1</v>
      </c>
      <c r="E18" s="28">
        <v>0</v>
      </c>
      <c r="F18" s="11">
        <f t="shared" si="0"/>
        <v>0</v>
      </c>
      <c r="G18" s="29">
        <f t="shared" si="1"/>
        <v>0</v>
      </c>
    </row>
    <row r="19" spans="1:7" ht="15" customHeight="1">
      <c r="A19" s="19" t="s">
        <v>28</v>
      </c>
      <c r="B19" s="19" t="s">
        <v>106</v>
      </c>
      <c r="C19" s="11">
        <f>COUNTIFS('NEW SERVICE &amp; RESUME REQUESTS'!$F$4:$F$995,A19,'NEW SERVICE &amp; RESUME REQUESTS'!$C$4:$C$995,B19)</f>
        <v>1</v>
      </c>
      <c r="D19" s="28">
        <v>3</v>
      </c>
      <c r="E19" s="28">
        <v>5</v>
      </c>
      <c r="F19" s="11">
        <f t="shared" si="0"/>
        <v>4</v>
      </c>
      <c r="G19" s="29">
        <f t="shared" si="1"/>
        <v>0.33333333333333331</v>
      </c>
    </row>
    <row r="20" spans="1:7" ht="15" customHeight="1">
      <c r="A20" s="19" t="s">
        <v>29</v>
      </c>
      <c r="B20" s="19" t="s">
        <v>106</v>
      </c>
      <c r="C20" s="11">
        <f>COUNTIFS('NEW SERVICE &amp; RESUME REQUESTS'!$F$4:$F$995,A20,'NEW SERVICE &amp; RESUME REQUESTS'!$C$4:$C$995,B20)</f>
        <v>0</v>
      </c>
      <c r="D20" s="28">
        <v>1</v>
      </c>
      <c r="E20" s="28">
        <v>0</v>
      </c>
      <c r="F20" s="11">
        <f t="shared" si="0"/>
        <v>0</v>
      </c>
      <c r="G20" s="29">
        <f t="shared" si="1"/>
        <v>0</v>
      </c>
    </row>
    <row r="21" spans="1:7" ht="15" customHeight="1">
      <c r="A21" s="19" t="s">
        <v>30</v>
      </c>
      <c r="B21" s="19" t="s">
        <v>106</v>
      </c>
      <c r="C21" s="11">
        <f>COUNTIFS('NEW SERVICE &amp; RESUME REQUESTS'!$F$4:$F$995,A21,'NEW SERVICE &amp; RESUME REQUESTS'!$C$4:$C$995,B21)</f>
        <v>1</v>
      </c>
      <c r="D21" s="28">
        <v>8</v>
      </c>
      <c r="E21" s="28">
        <v>2</v>
      </c>
      <c r="F21" s="11">
        <f t="shared" si="0"/>
        <v>1</v>
      </c>
      <c r="G21" s="29">
        <f t="shared" si="1"/>
        <v>0.125</v>
      </c>
    </row>
    <row r="22" spans="1:7" ht="15" customHeight="1">
      <c r="A22" s="19" t="s">
        <v>31</v>
      </c>
      <c r="B22" s="19" t="s">
        <v>106</v>
      </c>
      <c r="C22" s="11">
        <f>COUNTIFS('NEW SERVICE &amp; RESUME REQUESTS'!$F$4:$F$995,A22,'NEW SERVICE &amp; RESUME REQUESTS'!$C$4:$C$995,B22)</f>
        <v>1</v>
      </c>
      <c r="D22" s="28">
        <v>8</v>
      </c>
      <c r="E22" s="28">
        <v>2</v>
      </c>
      <c r="F22" s="11">
        <f t="shared" si="0"/>
        <v>1</v>
      </c>
      <c r="G22" s="29">
        <f t="shared" si="1"/>
        <v>0.125</v>
      </c>
    </row>
    <row r="23" spans="1:7" ht="15" customHeight="1">
      <c r="A23" s="19" t="s">
        <v>32</v>
      </c>
      <c r="B23" s="19" t="s">
        <v>106</v>
      </c>
      <c r="C23" s="11">
        <f>COUNTIFS('NEW SERVICE &amp; RESUME REQUESTS'!$F$4:$F$995,A23,'NEW SERVICE &amp; RESUME REQUESTS'!$C$4:$C$995,B23)</f>
        <v>3</v>
      </c>
      <c r="D23" s="28">
        <v>8</v>
      </c>
      <c r="E23" s="28">
        <v>8</v>
      </c>
      <c r="F23" s="11">
        <f t="shared" si="0"/>
        <v>5</v>
      </c>
      <c r="G23" s="29">
        <f t="shared" si="1"/>
        <v>0.375</v>
      </c>
    </row>
    <row r="24" spans="1:7" ht="15" customHeight="1">
      <c r="A24" s="19" t="s">
        <v>33</v>
      </c>
      <c r="B24" s="19" t="s">
        <v>106</v>
      </c>
      <c r="C24" s="11">
        <f>COUNTIFS('NEW SERVICE &amp; RESUME REQUESTS'!$F$4:$F$995,A24,'NEW SERVICE &amp; RESUME REQUESTS'!$C$4:$C$995,B24)</f>
        <v>1</v>
      </c>
      <c r="D24" s="28">
        <v>8</v>
      </c>
      <c r="E24" s="28">
        <v>0</v>
      </c>
      <c r="F24" s="11">
        <f t="shared" si="0"/>
        <v>-1</v>
      </c>
      <c r="G24" s="29">
        <f t="shared" si="1"/>
        <v>0.125</v>
      </c>
    </row>
    <row r="25" spans="1:7" ht="15" customHeight="1">
      <c r="A25" s="19" t="s">
        <v>34</v>
      </c>
      <c r="B25" s="19" t="s">
        <v>106</v>
      </c>
      <c r="C25" s="11">
        <f>COUNTIFS('NEW SERVICE &amp; RESUME REQUESTS'!$F$4:$F$995,A25,'NEW SERVICE &amp; RESUME REQUESTS'!$C$4:$C$995,B25)</f>
        <v>1</v>
      </c>
      <c r="D25" s="28">
        <v>8</v>
      </c>
      <c r="E25" s="28">
        <v>0</v>
      </c>
      <c r="F25" s="11">
        <f t="shared" si="0"/>
        <v>-1</v>
      </c>
      <c r="G25" s="29">
        <f t="shared" si="1"/>
        <v>0.125</v>
      </c>
    </row>
    <row r="26" spans="1:7" ht="15" customHeight="1">
      <c r="A26" s="19" t="s">
        <v>35</v>
      </c>
      <c r="B26" s="19" t="s">
        <v>106</v>
      </c>
      <c r="C26" s="11">
        <f>COUNTIFS('NEW SERVICE &amp; RESUME REQUESTS'!$F$4:$F$995,A26,'NEW SERVICE &amp; RESUME REQUESTS'!$C$4:$C$995,B26)</f>
        <v>3</v>
      </c>
      <c r="D26" s="28">
        <v>0</v>
      </c>
      <c r="E26" s="28">
        <v>5</v>
      </c>
      <c r="F26" s="11">
        <f t="shared" si="0"/>
        <v>2</v>
      </c>
      <c r="G26" s="29">
        <f t="shared" si="1"/>
        <v>0</v>
      </c>
    </row>
    <row r="27" spans="1:7" ht="15" customHeight="1">
      <c r="A27" s="19" t="s">
        <v>36</v>
      </c>
      <c r="B27" s="19" t="s">
        <v>106</v>
      </c>
      <c r="C27" s="11">
        <f>COUNTIFS('NEW SERVICE &amp; RESUME REQUESTS'!$F$4:$F$995,A27,'NEW SERVICE &amp; RESUME REQUESTS'!$C$4:$C$995,B27)</f>
        <v>0</v>
      </c>
      <c r="D27" s="28">
        <v>0</v>
      </c>
      <c r="E27" s="28">
        <v>0</v>
      </c>
      <c r="F27" s="11">
        <f t="shared" si="0"/>
        <v>0</v>
      </c>
      <c r="G27" s="29">
        <f t="shared" si="1"/>
        <v>0</v>
      </c>
    </row>
    <row r="28" spans="1:7" ht="15" customHeight="1">
      <c r="A28" s="19" t="s">
        <v>37</v>
      </c>
      <c r="B28" s="19" t="s">
        <v>106</v>
      </c>
      <c r="C28" s="11">
        <f>COUNTIFS('NEW SERVICE &amp; RESUME REQUESTS'!$F$4:$F$995,A28,'NEW SERVICE &amp; RESUME REQUESTS'!$C$4:$C$995,B28)</f>
        <v>0</v>
      </c>
      <c r="D28" s="28">
        <v>9</v>
      </c>
      <c r="E28" s="28">
        <v>1</v>
      </c>
      <c r="F28" s="11">
        <f t="shared" si="0"/>
        <v>1</v>
      </c>
      <c r="G28" s="29">
        <f t="shared" si="1"/>
        <v>0</v>
      </c>
    </row>
    <row r="29" spans="1:7" ht="15" customHeight="1">
      <c r="A29" s="19" t="s">
        <v>38</v>
      </c>
      <c r="B29" s="19" t="s">
        <v>106</v>
      </c>
      <c r="C29" s="11">
        <f>COUNTIFS('NEW SERVICE &amp; RESUME REQUESTS'!$F$4:$F$995,A29,'NEW SERVICE &amp; RESUME REQUESTS'!$C$4:$C$995,B29)</f>
        <v>0</v>
      </c>
      <c r="D29" s="28">
        <v>3</v>
      </c>
      <c r="E29" s="28">
        <v>0</v>
      </c>
      <c r="F29" s="11">
        <f t="shared" si="0"/>
        <v>0</v>
      </c>
      <c r="G29" s="29">
        <f t="shared" si="1"/>
        <v>0</v>
      </c>
    </row>
    <row r="30" spans="1:7" ht="15" customHeight="1">
      <c r="A30" s="19" t="s">
        <v>39</v>
      </c>
      <c r="B30" s="19" t="s">
        <v>106</v>
      </c>
      <c r="C30" s="11">
        <f>COUNTIFS('NEW SERVICE &amp; RESUME REQUESTS'!$F$4:$F$995,A30,'NEW SERVICE &amp; RESUME REQUESTS'!$C$4:$C$995,B30)</f>
        <v>9</v>
      </c>
      <c r="D30" s="28">
        <v>45</v>
      </c>
      <c r="E30" s="28">
        <v>20</v>
      </c>
      <c r="F30" s="11">
        <f t="shared" si="0"/>
        <v>11</v>
      </c>
      <c r="G30" s="29">
        <f t="shared" si="1"/>
        <v>0.2</v>
      </c>
    </row>
    <row r="31" spans="1:7" ht="15" customHeight="1">
      <c r="A31" s="19" t="s">
        <v>40</v>
      </c>
      <c r="B31" s="19" t="s">
        <v>106</v>
      </c>
      <c r="C31" s="11">
        <f>COUNTIFS('NEW SERVICE &amp; RESUME REQUESTS'!$F$4:$F$995,A31,'NEW SERVICE &amp; RESUME REQUESTS'!$C$4:$C$995,B31)</f>
        <v>0</v>
      </c>
      <c r="D31" s="28">
        <v>0</v>
      </c>
      <c r="E31" s="28">
        <v>0</v>
      </c>
      <c r="F31" s="11">
        <f t="shared" si="0"/>
        <v>0</v>
      </c>
      <c r="G31" s="29">
        <f t="shared" si="1"/>
        <v>0</v>
      </c>
    </row>
    <row r="32" spans="1:7" ht="15" customHeight="1">
      <c r="A32" s="19" t="s">
        <v>41</v>
      </c>
      <c r="B32" s="19" t="s">
        <v>106</v>
      </c>
      <c r="C32" s="11">
        <f>COUNTIFS('NEW SERVICE &amp; RESUME REQUESTS'!$F$4:$F$995,A32,'NEW SERVICE &amp; RESUME REQUESTS'!$C$4:$C$995,B32)</f>
        <v>0</v>
      </c>
      <c r="D32" s="28">
        <v>0</v>
      </c>
      <c r="E32" s="28">
        <v>0</v>
      </c>
      <c r="F32" s="11">
        <f t="shared" si="0"/>
        <v>0</v>
      </c>
      <c r="G32" s="29">
        <f t="shared" si="1"/>
        <v>0</v>
      </c>
    </row>
    <row r="33" spans="1:7" ht="15" customHeight="1">
      <c r="A33" s="19" t="s">
        <v>42</v>
      </c>
      <c r="B33" s="19" t="s">
        <v>106</v>
      </c>
      <c r="C33" s="11">
        <f>COUNTIFS('NEW SERVICE &amp; RESUME REQUESTS'!$F$4:$F$995,A33,'NEW SERVICE &amp; RESUME REQUESTS'!$C$4:$C$995,B33)</f>
        <v>0</v>
      </c>
      <c r="D33" s="28">
        <v>0</v>
      </c>
      <c r="E33" s="28">
        <v>0</v>
      </c>
      <c r="F33" s="11">
        <f t="shared" si="0"/>
        <v>0</v>
      </c>
      <c r="G33" s="29">
        <f t="shared" si="1"/>
        <v>0</v>
      </c>
    </row>
    <row r="34" spans="1:7" ht="15" customHeight="1">
      <c r="A34" s="19" t="s">
        <v>43</v>
      </c>
      <c r="B34" s="19" t="s">
        <v>106</v>
      </c>
      <c r="C34" s="11">
        <f>COUNTIFS('NEW SERVICE &amp; RESUME REQUESTS'!$F$4:$F$995,A34,'NEW SERVICE &amp; RESUME REQUESTS'!$C$4:$C$995,B34)</f>
        <v>0</v>
      </c>
      <c r="D34" s="28">
        <v>0</v>
      </c>
      <c r="E34" s="28">
        <v>0</v>
      </c>
      <c r="F34" s="11">
        <f t="shared" si="0"/>
        <v>0</v>
      </c>
      <c r="G34" s="29">
        <f t="shared" si="1"/>
        <v>0</v>
      </c>
    </row>
    <row r="35" spans="1:7" ht="15" customHeight="1">
      <c r="A35" s="19" t="s">
        <v>44</v>
      </c>
      <c r="B35" s="19" t="s">
        <v>106</v>
      </c>
      <c r="C35" s="11">
        <f>COUNTIFS('NEW SERVICE &amp; RESUME REQUESTS'!$F$4:$F$995,A35,'NEW SERVICE &amp; RESUME REQUESTS'!$C$4:$C$995,B35)</f>
        <v>0</v>
      </c>
      <c r="D35" s="28">
        <v>0</v>
      </c>
      <c r="E35" s="28">
        <v>0</v>
      </c>
      <c r="F35" s="11">
        <f t="shared" si="0"/>
        <v>0</v>
      </c>
      <c r="G35" s="29">
        <f t="shared" si="1"/>
        <v>0</v>
      </c>
    </row>
    <row r="36" spans="1:7" ht="15" customHeight="1">
      <c r="A36" s="19" t="s">
        <v>45</v>
      </c>
      <c r="B36" s="19" t="s">
        <v>106</v>
      </c>
      <c r="C36" s="11">
        <f>COUNTIFS('NEW SERVICE &amp; RESUME REQUESTS'!$F$4:$F$995,A36,'NEW SERVICE &amp; RESUME REQUESTS'!$C$4:$C$995,B36)</f>
        <v>2</v>
      </c>
      <c r="D36" s="28">
        <v>0</v>
      </c>
      <c r="E36" s="28">
        <v>0</v>
      </c>
      <c r="F36" s="11">
        <f t="shared" si="0"/>
        <v>-2</v>
      </c>
      <c r="G36" s="29">
        <f t="shared" si="1"/>
        <v>0</v>
      </c>
    </row>
    <row r="37" spans="1:7" ht="15" customHeight="1">
      <c r="A37" s="19" t="s">
        <v>46</v>
      </c>
      <c r="B37" s="19" t="s">
        <v>106</v>
      </c>
      <c r="C37" s="11">
        <f>COUNTIFS('NEW SERVICE &amp; RESUME REQUESTS'!$F$4:$F$995,A37,'NEW SERVICE &amp; RESUME REQUESTS'!$C$4:$C$995,B37)</f>
        <v>4</v>
      </c>
      <c r="D37" s="28">
        <v>13</v>
      </c>
      <c r="E37" s="28">
        <v>10</v>
      </c>
      <c r="F37" s="11">
        <f t="shared" ref="F37:F68" si="2">E37-C37</f>
        <v>6</v>
      </c>
      <c r="G37" s="29">
        <f t="shared" ref="G37:G55" si="3">IFERROR(C37/D37,0)</f>
        <v>0.30769230769230771</v>
      </c>
    </row>
    <row r="38" spans="1:7" ht="15" customHeight="1">
      <c r="A38" s="19" t="s">
        <v>47</v>
      </c>
      <c r="B38" s="19" t="s">
        <v>106</v>
      </c>
      <c r="C38" s="11">
        <f>COUNTIFS('NEW SERVICE &amp; RESUME REQUESTS'!$F$4:$F$995,A38,'NEW SERVICE &amp; RESUME REQUESTS'!$C$4:$C$995,B38)</f>
        <v>0</v>
      </c>
      <c r="D38" s="28">
        <v>0</v>
      </c>
      <c r="E38" s="28">
        <v>0</v>
      </c>
      <c r="F38" s="11">
        <f t="shared" si="2"/>
        <v>0</v>
      </c>
      <c r="G38" s="29">
        <f t="shared" si="3"/>
        <v>0</v>
      </c>
    </row>
    <row r="39" spans="1:7" ht="15" customHeight="1">
      <c r="A39" s="19" t="s">
        <v>48</v>
      </c>
      <c r="B39" s="19" t="s">
        <v>106</v>
      </c>
      <c r="C39" s="11">
        <f>COUNTIFS('NEW SERVICE &amp; RESUME REQUESTS'!$F$4:$F$995,A39,'NEW SERVICE &amp; RESUME REQUESTS'!$C$4:$C$995,B39)</f>
        <v>0</v>
      </c>
      <c r="D39" s="28">
        <v>0</v>
      </c>
      <c r="E39" s="28">
        <v>0</v>
      </c>
      <c r="F39" s="11">
        <f t="shared" si="2"/>
        <v>0</v>
      </c>
      <c r="G39" s="29">
        <f t="shared" si="3"/>
        <v>0</v>
      </c>
    </row>
    <row r="40" spans="1:7" ht="15" customHeight="1">
      <c r="A40" s="19" t="s">
        <v>49</v>
      </c>
      <c r="B40" s="19" t="s">
        <v>106</v>
      </c>
      <c r="C40" s="11">
        <f>COUNTIFS('NEW SERVICE &amp; RESUME REQUESTS'!$F$4:$F$995,A40,'NEW SERVICE &amp; RESUME REQUESTS'!$C$4:$C$995,B40)</f>
        <v>0</v>
      </c>
      <c r="D40" s="28">
        <v>1</v>
      </c>
      <c r="E40" s="28">
        <v>1</v>
      </c>
      <c r="F40" s="11">
        <f t="shared" si="2"/>
        <v>1</v>
      </c>
      <c r="G40" s="29">
        <f t="shared" si="3"/>
        <v>0</v>
      </c>
    </row>
    <row r="41" spans="1:7" ht="15" customHeight="1">
      <c r="A41" s="19" t="s">
        <v>50</v>
      </c>
      <c r="B41" s="19" t="s">
        <v>106</v>
      </c>
      <c r="C41" s="11">
        <f>COUNTIFS('NEW SERVICE &amp; RESUME REQUESTS'!$F$4:$F$995,A41,'NEW SERVICE &amp; RESUME REQUESTS'!$C$4:$C$995,B41)</f>
        <v>1</v>
      </c>
      <c r="D41" s="28">
        <v>39</v>
      </c>
      <c r="E41" s="28">
        <v>5</v>
      </c>
      <c r="F41" s="11">
        <f t="shared" si="2"/>
        <v>4</v>
      </c>
      <c r="G41" s="29">
        <f t="shared" si="3"/>
        <v>2.564102564102564E-2</v>
      </c>
    </row>
    <row r="42" spans="1:7" ht="15" customHeight="1">
      <c r="A42" s="19" t="s">
        <v>51</v>
      </c>
      <c r="B42" s="19" t="s">
        <v>106</v>
      </c>
      <c r="C42" s="11">
        <f>COUNTIFS('NEW SERVICE &amp; RESUME REQUESTS'!$F$4:$F$995,A42,'NEW SERVICE &amp; RESUME REQUESTS'!$C$4:$C$995,B42)</f>
        <v>0</v>
      </c>
      <c r="D42" s="28">
        <v>2</v>
      </c>
      <c r="E42" s="28">
        <v>1</v>
      </c>
      <c r="F42" s="11">
        <f t="shared" si="2"/>
        <v>1</v>
      </c>
      <c r="G42" s="29">
        <f t="shared" si="3"/>
        <v>0</v>
      </c>
    </row>
    <row r="43" spans="1:7" ht="15" customHeight="1">
      <c r="A43" s="19" t="s">
        <v>52</v>
      </c>
      <c r="B43" s="19" t="s">
        <v>106</v>
      </c>
      <c r="C43" s="11">
        <f>COUNTIFS('NEW SERVICE &amp; RESUME REQUESTS'!$F$4:$F$995,A43,'NEW SERVICE &amp; RESUME REQUESTS'!$C$4:$C$995,B43)</f>
        <v>2</v>
      </c>
      <c r="D43" s="28">
        <v>0</v>
      </c>
      <c r="E43" s="28">
        <v>0</v>
      </c>
      <c r="F43" s="11">
        <f t="shared" si="2"/>
        <v>-2</v>
      </c>
      <c r="G43" s="29">
        <f t="shared" si="3"/>
        <v>0</v>
      </c>
    </row>
    <row r="44" spans="1:7" ht="15" customHeight="1">
      <c r="A44" s="19" t="s">
        <v>53</v>
      </c>
      <c r="B44" s="19" t="s">
        <v>106</v>
      </c>
      <c r="C44" s="11">
        <f>COUNTIFS('NEW SERVICE &amp; RESUME REQUESTS'!$F$4:$F$995,A44,'NEW SERVICE &amp; RESUME REQUESTS'!$C$4:$C$995,B44)</f>
        <v>0</v>
      </c>
      <c r="D44" s="28">
        <v>0</v>
      </c>
      <c r="E44" s="28">
        <v>0</v>
      </c>
      <c r="F44" s="11">
        <f t="shared" si="2"/>
        <v>0</v>
      </c>
      <c r="G44" s="29">
        <f t="shared" si="3"/>
        <v>0</v>
      </c>
    </row>
    <row r="45" spans="1:7" ht="15" customHeight="1">
      <c r="A45" s="19" t="s">
        <v>54</v>
      </c>
      <c r="B45" s="19" t="s">
        <v>106</v>
      </c>
      <c r="C45" s="11">
        <f>COUNTIFS('NEW SERVICE &amp; RESUME REQUESTS'!$F$4:$F$995,A45,'NEW SERVICE &amp; RESUME REQUESTS'!$C$4:$C$995,B45)</f>
        <v>0</v>
      </c>
      <c r="D45" s="28">
        <v>0</v>
      </c>
      <c r="E45" s="28">
        <v>0</v>
      </c>
      <c r="F45" s="11">
        <f t="shared" si="2"/>
        <v>0</v>
      </c>
      <c r="G45" s="29">
        <f t="shared" si="3"/>
        <v>0</v>
      </c>
    </row>
    <row r="46" spans="1:7" ht="15" customHeight="1">
      <c r="A46" s="19" t="s">
        <v>55</v>
      </c>
      <c r="B46" s="19" t="s">
        <v>106</v>
      </c>
      <c r="C46" s="11">
        <f>COUNTIFS('NEW SERVICE &amp; RESUME REQUESTS'!$F$4:$F$995,A46,'NEW SERVICE &amp; RESUME REQUESTS'!$C$4:$C$995,B46)</f>
        <v>0</v>
      </c>
      <c r="D46" s="28">
        <v>0</v>
      </c>
      <c r="E46" s="28">
        <v>0</v>
      </c>
      <c r="F46" s="11">
        <f t="shared" si="2"/>
        <v>0</v>
      </c>
      <c r="G46" s="29">
        <f t="shared" si="3"/>
        <v>0</v>
      </c>
    </row>
    <row r="47" spans="1:7" ht="15" customHeight="1">
      <c r="A47" s="19" t="s">
        <v>56</v>
      </c>
      <c r="B47" s="19" t="s">
        <v>106</v>
      </c>
      <c r="C47" s="11">
        <f>COUNTIFS('NEW SERVICE &amp; RESUME REQUESTS'!$F$4:$F$995,A47,'NEW SERVICE &amp; RESUME REQUESTS'!$C$4:$C$995,B47)</f>
        <v>0</v>
      </c>
      <c r="D47" s="28">
        <v>0</v>
      </c>
      <c r="E47" s="28">
        <v>0</v>
      </c>
      <c r="F47" s="11">
        <f t="shared" si="2"/>
        <v>0</v>
      </c>
      <c r="G47" s="29">
        <f t="shared" si="3"/>
        <v>0</v>
      </c>
    </row>
    <row r="48" spans="1:7" ht="15" customHeight="1">
      <c r="A48" s="19" t="s">
        <v>57</v>
      </c>
      <c r="B48" s="19" t="s">
        <v>106</v>
      </c>
      <c r="C48" s="11">
        <f>COUNTIFS('NEW SERVICE &amp; RESUME REQUESTS'!$F$4:$F$995,A48,'NEW SERVICE &amp; RESUME REQUESTS'!$C$4:$C$995,B48)</f>
        <v>0</v>
      </c>
      <c r="D48" s="28">
        <v>0</v>
      </c>
      <c r="E48" s="28">
        <v>0</v>
      </c>
      <c r="F48" s="11">
        <f t="shared" si="2"/>
        <v>0</v>
      </c>
      <c r="G48" s="29">
        <f t="shared" si="3"/>
        <v>0</v>
      </c>
    </row>
    <row r="49" spans="1:7" ht="15" customHeight="1">
      <c r="A49" s="19" t="s">
        <v>58</v>
      </c>
      <c r="B49" s="19" t="s">
        <v>106</v>
      </c>
      <c r="C49" s="11">
        <f>COUNTIFS('NEW SERVICE &amp; RESUME REQUESTS'!$F$4:$F$995,A49,'NEW SERVICE &amp; RESUME REQUESTS'!$C$4:$C$995,B49)</f>
        <v>0</v>
      </c>
      <c r="D49" s="28">
        <v>0</v>
      </c>
      <c r="E49" s="28">
        <v>0</v>
      </c>
      <c r="F49" s="11">
        <f t="shared" si="2"/>
        <v>0</v>
      </c>
      <c r="G49" s="29">
        <f t="shared" si="3"/>
        <v>0</v>
      </c>
    </row>
    <row r="50" spans="1:7" ht="15" customHeight="1">
      <c r="A50" s="19" t="s">
        <v>59</v>
      </c>
      <c r="B50" s="19" t="s">
        <v>106</v>
      </c>
      <c r="C50" s="11">
        <f>COUNTIFS('NEW SERVICE &amp; RESUME REQUESTS'!$F$4:$F$995,A50,'NEW SERVICE &amp; RESUME REQUESTS'!$C$4:$C$995,B50)</f>
        <v>0</v>
      </c>
      <c r="D50" s="28">
        <v>0</v>
      </c>
      <c r="E50" s="28">
        <v>0</v>
      </c>
      <c r="F50" s="11">
        <f t="shared" si="2"/>
        <v>0</v>
      </c>
      <c r="G50" s="29">
        <f t="shared" si="3"/>
        <v>0</v>
      </c>
    </row>
    <row r="51" spans="1:7" ht="15" customHeight="1">
      <c r="A51" s="19" t="s">
        <v>60</v>
      </c>
      <c r="B51" s="19" t="s">
        <v>106</v>
      </c>
      <c r="C51" s="11">
        <f>COUNTIFS('NEW SERVICE &amp; RESUME REQUESTS'!$F$4:$F$995,A51,'NEW SERVICE &amp; RESUME REQUESTS'!$C$4:$C$995,B51)</f>
        <v>0</v>
      </c>
      <c r="D51" s="28">
        <v>0</v>
      </c>
      <c r="E51" s="28">
        <v>0</v>
      </c>
      <c r="F51" s="11">
        <f t="shared" si="2"/>
        <v>0</v>
      </c>
      <c r="G51" s="29">
        <f t="shared" si="3"/>
        <v>0</v>
      </c>
    </row>
    <row r="52" spans="1:7" ht="15" customHeight="1">
      <c r="A52" s="19" t="s">
        <v>61</v>
      </c>
      <c r="B52" s="19" t="s">
        <v>106</v>
      </c>
      <c r="C52" s="11">
        <f>COUNTIFS('NEW SERVICE &amp; RESUME REQUESTS'!$F$4:$F$995,A52,'NEW SERVICE &amp; RESUME REQUESTS'!$C$4:$C$995,B52)</f>
        <v>0</v>
      </c>
      <c r="D52" s="28">
        <v>0</v>
      </c>
      <c r="E52" s="28">
        <v>1</v>
      </c>
      <c r="F52" s="11">
        <f t="shared" si="2"/>
        <v>1</v>
      </c>
      <c r="G52" s="29">
        <f t="shared" si="3"/>
        <v>0</v>
      </c>
    </row>
    <row r="53" spans="1:7" ht="15" customHeight="1">
      <c r="A53" s="19" t="s">
        <v>62</v>
      </c>
      <c r="B53" s="19" t="s">
        <v>106</v>
      </c>
      <c r="C53" s="11">
        <f>COUNTIFS('NEW SERVICE &amp; RESUME REQUESTS'!$F$4:$F$995,A53,'NEW SERVICE &amp; RESUME REQUESTS'!$C$4:$C$995,B53)</f>
        <v>0</v>
      </c>
      <c r="D53" s="28">
        <v>0</v>
      </c>
      <c r="E53" s="28">
        <v>1</v>
      </c>
      <c r="F53" s="11">
        <f t="shared" si="2"/>
        <v>1</v>
      </c>
      <c r="G53" s="29">
        <f t="shared" si="3"/>
        <v>0</v>
      </c>
    </row>
    <row r="54" spans="1:7" ht="15" customHeight="1">
      <c r="A54" s="30" t="s">
        <v>365</v>
      </c>
      <c r="B54" s="30" t="s">
        <v>106</v>
      </c>
      <c r="C54" s="31">
        <f>COUNTIFS('NEW SERVICE &amp; RESUME REQUESTS'!$C$4:$C$995,"New Service &amp; Resume Requests")-SUM(C5:C53)</f>
        <v>2</v>
      </c>
      <c r="D54" s="31">
        <v>0</v>
      </c>
      <c r="E54" s="31">
        <v>0</v>
      </c>
      <c r="F54" s="31">
        <f t="shared" si="2"/>
        <v>-2</v>
      </c>
      <c r="G54" s="32">
        <f t="shared" si="3"/>
        <v>0</v>
      </c>
    </row>
    <row r="55" spans="1:7" ht="15" customHeight="1">
      <c r="A55" s="33" t="s">
        <v>366</v>
      </c>
      <c r="B55" s="33"/>
      <c r="C55" s="34">
        <f>SUM(C5:C54)</f>
        <v>141</v>
      </c>
      <c r="D55" s="34">
        <f>SUM(D5:D54)</f>
        <v>348</v>
      </c>
      <c r="E55" s="34">
        <f>SUM(E5:E54)</f>
        <v>195</v>
      </c>
      <c r="F55" s="34">
        <f>SUM(F5:F54)</f>
        <v>54</v>
      </c>
      <c r="G55" s="35">
        <f t="shared" si="3"/>
        <v>0.40517241379310343</v>
      </c>
    </row>
    <row r="57" spans="1:7" ht="15" customHeight="1">
      <c r="A57" s="36" t="s">
        <v>7</v>
      </c>
      <c r="B57" s="37"/>
      <c r="C57" s="37"/>
      <c r="D57" s="37"/>
      <c r="E57" s="37"/>
      <c r="F57" s="37"/>
      <c r="G57" s="37"/>
    </row>
    <row r="58" spans="1:7" ht="15" customHeight="1">
      <c r="A58" s="4" t="s">
        <v>46</v>
      </c>
      <c r="B58" s="4" t="s">
        <v>7</v>
      </c>
      <c r="C58">
        <f>COUNTIFS(CHURN!$M$2:$M$995,A58,CHURN!$L$2:$L$995,"Churn -*")</f>
        <v>0</v>
      </c>
      <c r="D58" s="38">
        <v>0</v>
      </c>
      <c r="E58" s="38">
        <v>0</v>
      </c>
      <c r="F58">
        <f>E58-C58</f>
        <v>0</v>
      </c>
      <c r="G58">
        <f>IFERROR(C58/D58,0)</f>
        <v>0</v>
      </c>
    </row>
    <row r="59" spans="1:7" ht="15" customHeight="1">
      <c r="A59" s="4" t="s">
        <v>39</v>
      </c>
      <c r="B59" s="4" t="s">
        <v>7</v>
      </c>
      <c r="C59">
        <f>COUNTIFS(CHURN!$M$2:$M$995,A59,CHURN!$L$2:$L$995,"Churn -*")</f>
        <v>1</v>
      </c>
      <c r="D59" s="38">
        <v>0</v>
      </c>
      <c r="E59" s="38">
        <v>0</v>
      </c>
      <c r="F59">
        <f>E59-C59</f>
        <v>-1</v>
      </c>
      <c r="G59">
        <f>IFERROR(C59/D59,0)</f>
        <v>0</v>
      </c>
    </row>
    <row r="60" spans="1:7" ht="15" customHeight="1">
      <c r="A60" s="4" t="s">
        <v>365</v>
      </c>
      <c r="B60" s="4" t="s">
        <v>7</v>
      </c>
      <c r="C60">
        <f>COUNTIFS(CHURN!$L$2:$L$995,"Churn -*")-SUM(C58:C59)</f>
        <v>6</v>
      </c>
      <c r="D60" s="38">
        <v>0</v>
      </c>
      <c r="E60" s="38">
        <v>0</v>
      </c>
      <c r="F60">
        <f>E60-C60</f>
        <v>-6</v>
      </c>
      <c r="G60">
        <f>IFERROR(C60/D60,0)</f>
        <v>0</v>
      </c>
    </row>
    <row r="61" spans="1:7" ht="15" customHeight="1">
      <c r="A61" s="13" t="s">
        <v>367</v>
      </c>
      <c r="C61" s="13">
        <f>SUM(C58:C60)</f>
        <v>7</v>
      </c>
      <c r="D61" s="13">
        <f>SUM(D58:D60)</f>
        <v>0</v>
      </c>
      <c r="E61" s="13">
        <f>SUM(E58:E60)</f>
        <v>0</v>
      </c>
      <c r="F61" s="13">
        <f>SUM(F58:F60)</f>
        <v>-7</v>
      </c>
      <c r="G61" s="13">
        <f>IFERROR(C61/D61,0)</f>
        <v>0</v>
      </c>
    </row>
    <row r="63" spans="1:7" ht="15" customHeight="1">
      <c r="A63" s="36" t="s">
        <v>257</v>
      </c>
      <c r="B63" s="37"/>
      <c r="C63" s="37"/>
      <c r="D63" s="37"/>
      <c r="E63" s="37"/>
      <c r="F63" s="37"/>
      <c r="G63" s="37"/>
    </row>
    <row r="64" spans="1:7" ht="15" customHeight="1">
      <c r="A64" s="4" t="s">
        <v>39</v>
      </c>
      <c r="B64" s="4" t="s">
        <v>257</v>
      </c>
      <c r="C64">
        <f>COUNTIFS(CHURN!$M$2:$M$995,A64,CHURN!$L$2:$L$995,"Order Taken Back -*")</f>
        <v>0</v>
      </c>
      <c r="D64" s="38">
        <v>0</v>
      </c>
      <c r="E64" s="38">
        <v>0</v>
      </c>
      <c r="F64">
        <f>E64-C64</f>
        <v>0</v>
      </c>
      <c r="G64">
        <f>IFERROR(C64/D64,0)</f>
        <v>0</v>
      </c>
    </row>
    <row r="65" spans="1:7" ht="15" customHeight="1">
      <c r="A65" s="4" t="s">
        <v>365</v>
      </c>
      <c r="B65" s="4" t="s">
        <v>257</v>
      </c>
      <c r="C65">
        <f>COUNTIFS(CHURN!$L$2:$L$995,"Order Taken Back -*")-SUM(C64:C64)</f>
        <v>4</v>
      </c>
      <c r="D65" s="38">
        <v>0</v>
      </c>
      <c r="E65" s="38">
        <v>0</v>
      </c>
      <c r="F65">
        <f>E65-C65</f>
        <v>-4</v>
      </c>
      <c r="G65">
        <f>IFERROR(C65/D65,0)</f>
        <v>0</v>
      </c>
    </row>
    <row r="66" spans="1:7" ht="15" customHeight="1">
      <c r="A66" s="13" t="s">
        <v>368</v>
      </c>
      <c r="C66" s="13">
        <f>SUM(C64:C65)</f>
        <v>4</v>
      </c>
      <c r="D66" s="13">
        <f>SUM(D64:D65)</f>
        <v>0</v>
      </c>
      <c r="E66" s="13">
        <f>SUM(E64:E65)</f>
        <v>0</v>
      </c>
      <c r="F66" s="13">
        <f>SUM(F64:F65)</f>
        <v>-4</v>
      </c>
      <c r="G66" s="13">
        <f>IFERROR(C66/D66,0)</f>
        <v>0</v>
      </c>
    </row>
    <row r="68" spans="1:7" ht="15" customHeight="1">
      <c r="A68" s="36" t="s">
        <v>246</v>
      </c>
    </row>
    <row r="69" spans="1:7" ht="15" customHeight="1">
      <c r="A69" s="4" t="s">
        <v>365</v>
      </c>
      <c r="B69" s="4" t="s">
        <v>246</v>
      </c>
      <c r="C69">
        <f>COUNTIFS('PLACED &amp; SCHEDULED ORDERS'!$C$2:$C$995,"Placed &amp; Scheduled Orders")</f>
        <v>10</v>
      </c>
      <c r="D69" s="38">
        <v>0</v>
      </c>
      <c r="E69" s="38">
        <v>0</v>
      </c>
      <c r="F69">
        <f>E69-C69</f>
        <v>-10</v>
      </c>
      <c r="G69">
        <f>IFERROR(C69/D69,0)</f>
        <v>0</v>
      </c>
    </row>
    <row r="70" spans="1:7" ht="15" customHeight="1">
      <c r="A70" s="13" t="s">
        <v>369</v>
      </c>
      <c r="C70" s="13">
        <f>SUM(C69:C69)</f>
        <v>10</v>
      </c>
      <c r="D70" s="13">
        <f>SUM(D69:D69)</f>
        <v>0</v>
      </c>
      <c r="E70" s="13">
        <f>SUM(E69:E69)</f>
        <v>0</v>
      </c>
      <c r="F70" s="13">
        <f>SUM(F69:F69)</f>
        <v>-10</v>
      </c>
      <c r="G70" s="13">
        <f>IFERROR(C70/D70,0)</f>
        <v>0</v>
      </c>
    </row>
    <row r="72" spans="1:7" ht="15" customHeight="1">
      <c r="A72" s="36" t="s">
        <v>346</v>
      </c>
    </row>
    <row r="73" spans="1:7" ht="15" customHeight="1">
      <c r="A73" s="4" t="s">
        <v>365</v>
      </c>
      <c r="B73" s="4" t="s">
        <v>346</v>
      </c>
      <c r="C73">
        <f>COUNTIFS('SERVICE ON HOLD'!$C$2:$C$995,"Service On Hold")</f>
        <v>10</v>
      </c>
      <c r="D73" s="38">
        <v>0</v>
      </c>
      <c r="E73" s="38">
        <v>0</v>
      </c>
      <c r="F73">
        <f>E73-C73</f>
        <v>-10</v>
      </c>
      <c r="G73">
        <f>IFERROR(C73/D73,0)</f>
        <v>0</v>
      </c>
    </row>
    <row r="74" spans="1:7" ht="15" customHeight="1">
      <c r="A74" s="13" t="s">
        <v>370</v>
      </c>
      <c r="C74" s="13">
        <f>SUM(C73:C73)</f>
        <v>10</v>
      </c>
      <c r="D74" s="13">
        <f>SUM(D73:D73)</f>
        <v>0</v>
      </c>
      <c r="E74" s="13">
        <f>SUM(E73:E73)</f>
        <v>0</v>
      </c>
      <c r="F74" s="13">
        <f>SUM(F73:F73)</f>
        <v>-10</v>
      </c>
      <c r="G74" s="13">
        <f>IFERROR(C74/D74,0)</f>
        <v>0</v>
      </c>
    </row>
  </sheetData>
  <mergeCells count="2">
    <mergeCell ref="A1:G1"/>
    <mergeCell ref="A2:G2"/>
  </mergeCells>
  <pageMargins left="0.75" right="0.75" top="1" bottom="1" header="0.511811023622047" footer="0.511811023622047"/>
  <pageSetup paperSize="9" fitToHeight="0" orientation="landscape"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8BFD1025CAE941B2FA05C1E9D62D23" ma:contentTypeVersion="12" ma:contentTypeDescription="Create a new document." ma:contentTypeScope="" ma:versionID="468d0cbd143cc8e14a623ebe5237ca66">
  <xsd:schema xmlns:xsd="http://www.w3.org/2001/XMLSchema" xmlns:xs="http://www.w3.org/2001/XMLSchema" xmlns:p="http://schemas.microsoft.com/office/2006/metadata/properties" xmlns:ns2="6ae09196-6801-4f21-bd57-6d55e8e621d7" xmlns:ns3="33b25f97-ee06-45f2-aacf-bd4788837b2f" targetNamespace="http://schemas.microsoft.com/office/2006/metadata/properties" ma:root="true" ma:fieldsID="d19b59fa32aea8084a82db41a914e6df" ns2:_="" ns3:_="">
    <xsd:import namespace="6ae09196-6801-4f21-bd57-6d55e8e621d7"/>
    <xsd:import namespace="33b25f97-ee06-45f2-aacf-bd4788837b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e09196-6801-4f21-bd57-6d55e8e621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d64cc84-2482-46fe-9692-3bb95592e69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b25f97-ee06-45f2-aacf-bd4788837b2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35febe-33a4-4bed-94e7-95d99c5c72df}" ma:internalName="TaxCatchAll" ma:showField="CatchAllData" ma:web="33b25f97-ee06-45f2-aacf-bd478883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3b25f97-ee06-45f2-aacf-bd4788837b2f" xsi:nil="true"/>
    <lcf76f155ced4ddcb4097134ff3c332f xmlns="6ae09196-6801-4f21-bd57-6d55e8e621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8B681D-1A5B-4569-AE8E-69156588083C}"/>
</file>

<file path=customXml/itemProps2.xml><?xml version="1.0" encoding="utf-8"?>
<ds:datastoreItem xmlns:ds="http://schemas.openxmlformats.org/officeDocument/2006/customXml" ds:itemID="{08461669-A61D-4BB1-B494-AF0C59D3CEA0}"/>
</file>

<file path=customXml/itemProps3.xml><?xml version="1.0" encoding="utf-8"?>
<ds:datastoreItem xmlns:ds="http://schemas.openxmlformats.org/officeDocument/2006/customXml" ds:itemID="{05727A58-7E83-4B68-AD84-8E04640133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38</cp:revision>
  <dcterms:created xsi:type="dcterms:W3CDTF">2026-08-11T03:10:23Z</dcterms:created>
  <dcterms:modified xsi:type="dcterms:W3CDTF">2026-09-11T01:55:35Z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0x010100CA8BFD1025CAE941B2FA05C1E9D62D23</vt:lpwstr>
  </property>
  <property fmtid="{D5CDD505-2E9C-101B-9397-08002B2CF9AE}" pid="3" name="MediaServiceImageTags">
    <vt:lpwstr/>
  </property>
</Properties>
</file>